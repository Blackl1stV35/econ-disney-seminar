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Operator cash flow by year, THB bn</a:t>
            </a:r>
          </a:p>
        </rich>
      </tx>
    </title>
    <plotArea>
      <barChart>
        <barDir val="col"/>
        <grouping val="clustered"/>
        <ser>
          <idx val="0"/>
          <order val="0"/>
          <tx>
            <strRef>
              <f>'Appraisal'!I30</f>
            </strRef>
          </tx>
          <spPr>
            <a:ln xmlns:a="http://schemas.openxmlformats.org/drawingml/2006/main">
              <a:prstDash val="solid"/>
            </a:ln>
          </spPr>
          <cat>
            <numRef>
              <f>'Appraisal'!$A$31:$A$53</f>
            </numRef>
          </cat>
          <val>
            <numRef>
              <f>'Appraisal'!$I$31:$I$53</f>
            </numRef>
          </val>
        </ser>
        <ser>
          <idx val="1"/>
          <order val="1"/>
          <tx>
            <strRef>
              <f>'Appraisal'!M30</f>
            </strRef>
          </tx>
          <spPr>
            <a:ln xmlns:a="http://schemas.openxmlformats.org/drawingml/2006/main">
              <a:prstDash val="solid"/>
            </a:ln>
          </spPr>
          <cat>
            <numRef>
              <f>'Appraisal'!$A$31:$A$53</f>
            </numRef>
          </cat>
          <val>
            <numRef>
              <f>'Appraisal'!$M$31:$M$53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operator cash flow, THB bn</a:t>
            </a:r>
          </a:p>
        </rich>
      </tx>
    </title>
    <plotArea>
      <lineChart>
        <grouping val="standard"/>
        <ser>
          <idx val="0"/>
          <order val="0"/>
          <tx>
            <strRef>
              <f>'Appraisal'!K30</f>
            </strRef>
          </tx>
          <spPr>
            <a:ln xmlns:a="http://schemas.openxmlformats.org/drawingml/2006/main">
              <a:prstDash val="solid"/>
            </a:ln>
          </spPr>
          <marker>
            <symbol val="none"/>
            <spPr>
              <a:ln xmlns:a="http://schemas.openxmlformats.org/drawingml/2006/main">
                <a:prstDash val="solid"/>
              </a:ln>
            </spPr>
          </marker>
          <cat>
            <numRef>
              <f>'Appraisal'!$A$31:$A$53</f>
            </numRef>
          </cat>
          <val>
            <numRef>
              <f>'Appraisal'!$K$31:$K$53</f>
            </numRef>
          </val>
        </ser>
        <ser>
          <idx val="1"/>
          <order val="1"/>
          <tx>
            <strRef>
              <f>'Appraisal'!O30</f>
            </strRef>
          </tx>
          <spPr>
            <a:ln xmlns:a="http://schemas.openxmlformats.org/drawingml/2006/main">
              <a:prstDash val="solid"/>
            </a:ln>
          </spPr>
          <marker>
            <symbol val="none"/>
            <spPr>
              <a:ln xmlns:a="http://schemas.openxmlformats.org/drawingml/2006/main">
                <a:prstDash val="solid"/>
              </a:ln>
            </spPr>
          </marker>
          <cat>
            <numRef>
              <f>'Appraisal'!$A$31:$A$53</f>
            </numRef>
          </cat>
          <val>
            <numRef>
              <f>'Appraisal'!$O$31:$O$53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Operator NPV by sensitivity case, THB bn (confirmed and cash-cost proxy)</a:t>
            </a:r>
          </a:p>
        </rich>
      </tx>
    </title>
    <plotArea>
      <barChart>
        <barDir val="bar"/>
        <grouping val="clustered"/>
        <ser>
          <idx val="0"/>
          <order val="0"/>
          <tx>
            <strRef>
              <f>'Appraisal'!G56</f>
            </strRef>
          </tx>
          <spPr>
            <a:ln xmlns:a="http://schemas.openxmlformats.org/drawingml/2006/main">
              <a:prstDash val="solid"/>
            </a:ln>
          </spPr>
          <cat>
            <numRef>
              <f>'Appraisal'!$A$57:$A$82</f>
            </numRef>
          </cat>
          <val>
            <numRef>
              <f>'Appraisal'!$G$57:$G$82</f>
            </numRef>
          </val>
        </ser>
        <ser>
          <idx val="1"/>
          <order val="1"/>
          <tx>
            <strRef>
              <f>'Appraisal'!H56</f>
            </strRef>
          </tx>
          <spPr>
            <a:ln xmlns:a="http://schemas.openxmlformats.org/drawingml/2006/main">
              <a:prstDash val="solid"/>
            </a:ln>
          </spPr>
          <cat>
            <numRef>
              <f>'Appraisal'!$A$57:$A$82</f>
            </numRef>
          </cat>
          <val>
            <numRef>
              <f>'Appraisal'!$H$57:$H$82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6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6" customWidth="1" min="3" max="3"/>
    <col width="16" customWidth="1" min="4" max="4"/>
    <col width="16" customWidth="1" min="5" max="5"/>
    <col width="22" customWidth="1" min="6" max="6"/>
    <col width="48" customWidth="1" min="7" max="7"/>
    <col width="80" customWidth="1" min="8" max="8"/>
  </cols>
  <sheetData>
    <row r="1">
      <c r="A1" s="1" t="inlineStr">
        <is>
          <t>Input assumptions: every row of inputs.csv and assumptions.csv (base case values)</t>
        </is>
      </c>
    </row>
    <row r="2">
      <c r="A2" t="inlineStr">
        <is>
          <t>Values are copied from disney-tourism-thailand/data/appraisal. Column C is the base case used by the appraisal. Status and source are copied from the source file.</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2"/>
  <sheetViews>
    <sheetView workbookViewId="0">
      <pane ySplit="4" topLeftCell="A5" activePane="bottomLeft" state="frozen"/>
      <selection pane="bottomLeft"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1" t="inlineStr">
        <is>
          <t>Operator financial appraisal: legacy-model reconciliation and cash-cost proxy (base case, THB billion unless stated)</t>
        </is>
      </c>
    </row>
    <row r="2">
      <c r="A2" t="inlineStr">
        <is>
          <t>Park-only operator ledger: revenue less cash operating cost less capital expenditure, discounted at the financial cost of capital. Years t = 0 to 21 from the start of construction. Cells are formulas linked to Inputs.</t>
        </is>
      </c>
    </row>
    <row r="3">
      <c r="A3" t="inlineStr">
        <is>
          <t>Limits: not a complete Financial Appraisal. The cash basis is a proxy from Hong Kong Disneyland FY2025 accounts. Not modelled: cash tax, replacement capex, working capital, and the park-only capex and revenue boundary. The depreciation treatment is pending the team decision.</t>
        </is>
      </c>
    </row>
    <row r="4">
      <c r="A4" t="inlineStr">
        <is>
          <t>Parameter</t>
        </is>
      </c>
      <c r="B4" t="inlineStr">
        <is>
          <t>Confirmed basis</t>
        </is>
      </c>
      <c r="C4" t="inlineStr">
        <is>
          <t>Cash basis</t>
        </is>
      </c>
    </row>
    <row r="5">
      <c r="A5" t="inlineStr">
        <is>
          <t>Operating-cost share of revenue</t>
        </is>
      </c>
      <c r="B5" s="3">
        <f>Inputs!$C$153</f>
        <v/>
      </c>
      <c r="C5" s="3">
        <f>Inputs!$C$135/Inputs!$C$86</f>
        <v/>
      </c>
    </row>
    <row r="6">
      <c r="A6" t="inlineStr">
        <is>
          <t>WACC (financial cost of capital)</t>
        </is>
      </c>
      <c r="B6">
        <f>Inputs!$C$145</f>
        <v/>
      </c>
      <c r="C6">
        <f>B6</f>
        <v/>
      </c>
    </row>
    <row r="7">
      <c r="A7" t="inlineStr">
        <is>
          <t>Project life (years of operation)</t>
        </is>
      </c>
      <c r="B7">
        <f>Inputs!$C$143</f>
        <v/>
      </c>
    </row>
    <row r="8">
      <c r="A8" t="inlineStr">
        <is>
          <t>Construction years</t>
        </is>
      </c>
      <c r="B8">
        <f>Inputs!$C$144</f>
        <v/>
      </c>
    </row>
    <row r="9">
      <c r="A9" t="inlineStr">
        <is>
          <t>Capital expenditure (THB bn, proposal value, not verified)</t>
        </is>
      </c>
      <c r="B9">
        <f>Inputs!$C$4</f>
        <v/>
      </c>
    </row>
    <row r="10">
      <c r="A10" t="inlineStr">
        <is>
          <t>Attendance (million visits a year)</t>
        </is>
      </c>
      <c r="B10">
        <f>Inputs!$C$146</f>
        <v/>
      </c>
    </row>
    <row r="11">
      <c r="A11" t="inlineStr">
        <is>
          <t>International share of attendance</t>
        </is>
      </c>
      <c r="B11">
        <f>Inputs!$C$147</f>
        <v/>
      </c>
    </row>
    <row r="12">
      <c r="A12" t="inlineStr">
        <is>
          <t>Physical visit cap (million visits a year): smaller of airport and room-stock capacity</t>
        </is>
      </c>
      <c r="B12">
        <f>MIN(Inputs!$C$28/Inputs!$C$157,Inputs!$C$161*365*Inputs!$C$156/Inputs!$C$155)/1000000</f>
        <v/>
      </c>
    </row>
    <row r="13">
      <c r="A13" t="inlineStr">
        <is>
          <t>Ticket revenue per visit (THB)</t>
        </is>
      </c>
      <c r="B13">
        <f>Inputs!$C$154</f>
        <v/>
      </c>
    </row>
    <row r="14">
      <c r="A14" t="inlineStr">
        <is>
          <t>Operator visits per operating year (million): attendance less international visits above the cap</t>
        </is>
      </c>
      <c r="B14">
        <f>B10-MAX(B10*B11-B12,0)</f>
        <v/>
      </c>
    </row>
    <row r="15">
      <c r="A15" t="inlineStr">
        <is>
          <t>Operator revenue per operating year (THB bn)</t>
        </is>
      </c>
      <c r="B15">
        <f>B14*B13/1000</f>
        <v/>
      </c>
    </row>
    <row r="17">
      <c r="A17" t="inlineStr">
        <is>
          <t>Results</t>
        </is>
      </c>
      <c r="B17" t="inlineStr">
        <is>
          <t>Confirmed basis</t>
        </is>
      </c>
      <c r="C17" t="inlineStr">
        <is>
          <t>Cash basis</t>
        </is>
      </c>
    </row>
    <row r="18">
      <c r="A18" t="inlineStr">
        <is>
          <t>Operator NPV at the financial cost of capital (THB bn)</t>
        </is>
      </c>
      <c r="B18" s="4">
        <f>SUM(J31:J53)</f>
        <v/>
      </c>
      <c r="C18" s="4">
        <f>SUM(N31:N53)</f>
        <v/>
      </c>
    </row>
    <row r="19">
      <c r="A19" t="inlineStr">
        <is>
          <t>Operator IRR</t>
        </is>
      </c>
      <c r="B19" s="5">
        <f>IRR(I31:I53)</f>
        <v/>
      </c>
      <c r="C19" s="5">
        <f>IRR(M31:M53)</f>
        <v/>
      </c>
    </row>
    <row r="20">
      <c r="A20" t="inlineStr">
        <is>
          <t>Break-even capital expenditure (THB bn), NPV = 0</t>
        </is>
      </c>
      <c r="B20" s="4">
        <f>B9*(B15*(1-B5)*B26)/B27</f>
        <v/>
      </c>
      <c r="C20" s="4">
        <f>B9*(B15*(1-C5)*B26)/B27</f>
        <v/>
      </c>
    </row>
    <row r="21">
      <c r="A21" t="inlineStr">
        <is>
          <t>Break-even attendance (million visits a year), NPV = 0</t>
        </is>
      </c>
      <c r="B21" s="4">
        <f>B10-B18/((1-B5)*B13/1000*(1-B11)*B26)</f>
        <v/>
      </c>
      <c r="C21" s="4">
        <f>B10-C18/((1-C5)*B13/1000*(1-B11)*B26)</f>
        <v/>
      </c>
    </row>
    <row r="22">
      <c r="A22" t="inlineStr">
        <is>
          <t>Regime check for break-even attendance (OK when the break-even attendance is above the cap)</t>
        </is>
      </c>
      <c r="B22">
        <f>IF(B21*B11&gt;=B12,"OK","CHECK")</f>
        <v/>
      </c>
      <c r="C22">
        <f>IF(C21*B11&gt;=B12,"OK","CHECK")</f>
        <v/>
      </c>
    </row>
    <row r="23">
      <c r="A23" t="inlineStr">
        <is>
          <t>Model reference NPV (scratch run of the model, 20 Oct 2026; for audit only)</t>
        </is>
      </c>
      <c r="B23" s="4" t="n">
        <v>-280.9412696301409</v>
      </c>
      <c r="C23" s="4" t="n">
        <v>-259.4197777456208</v>
      </c>
    </row>
    <row r="24">
      <c r="A24" t="inlineStr">
        <is>
          <t>Difference from the model reference (should be about 0)</t>
        </is>
      </c>
      <c r="B24" s="4">
        <f>B18-B23</f>
        <v/>
      </c>
      <c r="C24" s="4">
        <f>C18-C23</f>
        <v/>
      </c>
    </row>
    <row r="26">
      <c r="A26" t="inlineStr">
        <is>
          <t>Sum of discount factors over operating years (AF0)</t>
        </is>
      </c>
      <c r="B26">
        <f>SUMPRODUCT(B31:B53,D31:D53)</f>
        <v/>
      </c>
    </row>
    <row r="27">
      <c r="A27" t="inlineStr">
        <is>
          <t>Present value of capital expenditure at the proposal value (PVcap, THB bn)</t>
        </is>
      </c>
      <c r="B27">
        <f>SUMPRODUCT(E31:E53,B31:B53)</f>
        <v/>
      </c>
    </row>
    <row r="30">
      <c r="A30" s="6" t="inlineStr">
        <is>
          <t>Year t</t>
        </is>
      </c>
      <c r="B30" s="6" t="inlineStr">
        <is>
          <t>Discount factor</t>
        </is>
      </c>
      <c r="C30" s="6" t="inlineStr">
        <is>
          <t>Construction flag</t>
        </is>
      </c>
      <c r="D30" s="6" t="inlineStr">
        <is>
          <t>Operating flag</t>
        </is>
      </c>
      <c r="E30" s="6" t="inlineStr">
        <is>
          <t>Capex (THB bn)</t>
        </is>
      </c>
      <c r="F30" s="6" t="inlineStr">
        <is>
          <t>Operator visits (million)</t>
        </is>
      </c>
      <c r="G30" s="6" t="inlineStr">
        <is>
          <t>Revenue (THB bn)</t>
        </is>
      </c>
      <c r="H30" s="6" t="inlineStr">
        <is>
          <t>Opex, confirmed (THB bn)</t>
        </is>
      </c>
      <c r="I30" s="6" t="inlineStr">
        <is>
          <t>Cash flow, confirmed</t>
        </is>
      </c>
      <c r="J30" s="6" t="inlineStr">
        <is>
          <t>PV, confirmed</t>
        </is>
      </c>
      <c r="K30" s="6" t="inlineStr">
        <is>
          <t>Cumulative, confirmed</t>
        </is>
      </c>
      <c r="L30" s="6" t="inlineStr">
        <is>
          <t>Opex, cash basis (THB bn)</t>
        </is>
      </c>
      <c r="M30" s="6" t="inlineStr">
        <is>
          <t>Cash flow, cash basis</t>
        </is>
      </c>
      <c r="N30" s="6" t="inlineStr">
        <is>
          <t>PV, cash basis</t>
        </is>
      </c>
      <c r="O30" s="6" t="inlineStr">
        <is>
          <t>Cumulative, cash basis</t>
        </is>
      </c>
    </row>
    <row r="31">
      <c r="A31" t="n">
        <v>0</v>
      </c>
      <c r="B31" s="3">
        <f>1/(1+$B$6)^A31</f>
        <v/>
      </c>
      <c r="C31">
        <f>IF(A31&lt;$B$8,1,0)</f>
        <v/>
      </c>
      <c r="D31">
        <f>IF(AND(A31&gt;=$B$8,A31&lt;$B$8+$B$7),1,0)</f>
        <v/>
      </c>
      <c r="E31" s="4">
        <f>C31*$B$9/$B$8</f>
        <v/>
      </c>
      <c r="F31" s="7">
        <f>D31*$B$14</f>
        <v/>
      </c>
      <c r="G31" s="4">
        <f>F31*$B$13/1000</f>
        <v/>
      </c>
      <c r="H31" s="4">
        <f>$B$5*G31</f>
        <v/>
      </c>
      <c r="I31" s="4">
        <f>G31-H31-E31</f>
        <v/>
      </c>
      <c r="J31" s="4">
        <f>I31*B31</f>
        <v/>
      </c>
      <c r="K31" s="4">
        <f>SUM($I$31:I31)</f>
        <v/>
      </c>
      <c r="L31" s="4">
        <f>$C$5*G31</f>
        <v/>
      </c>
      <c r="M31" s="4">
        <f>G31-L31-E31</f>
        <v/>
      </c>
      <c r="N31" s="4">
        <f>M31*B31</f>
        <v/>
      </c>
      <c r="O31" s="4">
        <f>SUM($M$31:M31)</f>
        <v/>
      </c>
    </row>
    <row r="32">
      <c r="A32" t="n">
        <v>1</v>
      </c>
      <c r="B32" s="3">
        <f>1/(1+$B$6)^A32</f>
        <v/>
      </c>
      <c r="C32">
        <f>IF(A32&lt;$B$8,1,0)</f>
        <v/>
      </c>
      <c r="D32">
        <f>IF(AND(A32&gt;=$B$8,A32&lt;$B$8+$B$7),1,0)</f>
        <v/>
      </c>
      <c r="E32" s="4">
        <f>C32*$B$9/$B$8</f>
        <v/>
      </c>
      <c r="F32" s="7">
        <f>D32*$B$14</f>
        <v/>
      </c>
      <c r="G32" s="4">
        <f>F32*$B$13/1000</f>
        <v/>
      </c>
      <c r="H32" s="4">
        <f>$B$5*G32</f>
        <v/>
      </c>
      <c r="I32" s="4">
        <f>G32-H32-E32</f>
        <v/>
      </c>
      <c r="J32" s="4">
        <f>I32*B32</f>
        <v/>
      </c>
      <c r="K32" s="4">
        <f>SUM($I$31:I32)</f>
        <v/>
      </c>
      <c r="L32" s="4">
        <f>$C$5*G32</f>
        <v/>
      </c>
      <c r="M32" s="4">
        <f>G32-L32-E32</f>
        <v/>
      </c>
      <c r="N32" s="4">
        <f>M32*B32</f>
        <v/>
      </c>
      <c r="O32" s="4">
        <f>SUM($M$31:M32)</f>
        <v/>
      </c>
    </row>
    <row r="33">
      <c r="A33" t="n">
        <v>2</v>
      </c>
      <c r="B33" s="3">
        <f>1/(1+$B$6)^A33</f>
        <v/>
      </c>
      <c r="C33">
        <f>IF(A33&lt;$B$8,1,0)</f>
        <v/>
      </c>
      <c r="D33">
        <f>IF(AND(A33&gt;=$B$8,A33&lt;$B$8+$B$7),1,0)</f>
        <v/>
      </c>
      <c r="E33" s="4">
        <f>C33*$B$9/$B$8</f>
        <v/>
      </c>
      <c r="F33" s="7">
        <f>D33*$B$14</f>
        <v/>
      </c>
      <c r="G33" s="4">
        <f>F33*$B$13/1000</f>
        <v/>
      </c>
      <c r="H33" s="4">
        <f>$B$5*G33</f>
        <v/>
      </c>
      <c r="I33" s="4">
        <f>G33-H33-E33</f>
        <v/>
      </c>
      <c r="J33" s="4">
        <f>I33*B33</f>
        <v/>
      </c>
      <c r="K33" s="4">
        <f>SUM($I$31:I33)</f>
        <v/>
      </c>
      <c r="L33" s="4">
        <f>$C$5*G33</f>
        <v/>
      </c>
      <c r="M33" s="4">
        <f>G33-L33-E33</f>
        <v/>
      </c>
      <c r="N33" s="4">
        <f>M33*B33</f>
        <v/>
      </c>
      <c r="O33" s="4">
        <f>SUM($M$31:M33)</f>
        <v/>
      </c>
    </row>
    <row r="34">
      <c r="A34" t="n">
        <v>3</v>
      </c>
      <c r="B34" s="3">
        <f>1/(1+$B$6)^A34</f>
        <v/>
      </c>
      <c r="C34">
        <f>IF(A34&lt;$B$8,1,0)</f>
        <v/>
      </c>
      <c r="D34">
        <f>IF(AND(A34&gt;=$B$8,A34&lt;$B$8+$B$7),1,0)</f>
        <v/>
      </c>
      <c r="E34" s="4">
        <f>C34*$B$9/$B$8</f>
        <v/>
      </c>
      <c r="F34" s="7">
        <f>D34*$B$14</f>
        <v/>
      </c>
      <c r="G34" s="4">
        <f>F34*$B$13/1000</f>
        <v/>
      </c>
      <c r="H34" s="4">
        <f>$B$5*G34</f>
        <v/>
      </c>
      <c r="I34" s="4">
        <f>G34-H34-E34</f>
        <v/>
      </c>
      <c r="J34" s="4">
        <f>I34*B34</f>
        <v/>
      </c>
      <c r="K34" s="4">
        <f>SUM($I$31:I34)</f>
        <v/>
      </c>
      <c r="L34" s="4">
        <f>$C$5*G34</f>
        <v/>
      </c>
      <c r="M34" s="4">
        <f>G34-L34-E34</f>
        <v/>
      </c>
      <c r="N34" s="4">
        <f>M34*B34</f>
        <v/>
      </c>
      <c r="O34" s="4">
        <f>SUM($M$31:M34)</f>
        <v/>
      </c>
    </row>
    <row r="35">
      <c r="A35" t="n">
        <v>4</v>
      </c>
      <c r="B35" s="3">
        <f>1/(1+$B$6)^A35</f>
        <v/>
      </c>
      <c r="C35">
        <f>IF(A35&lt;$B$8,1,0)</f>
        <v/>
      </c>
      <c r="D35">
        <f>IF(AND(A35&gt;=$B$8,A35&lt;$B$8+$B$7),1,0)</f>
        <v/>
      </c>
      <c r="E35" s="4">
        <f>C35*$B$9/$B$8</f>
        <v/>
      </c>
      <c r="F35" s="7">
        <f>D35*$B$14</f>
        <v/>
      </c>
      <c r="G35" s="4">
        <f>F35*$B$13/1000</f>
        <v/>
      </c>
      <c r="H35" s="4">
        <f>$B$5*G35</f>
        <v/>
      </c>
      <c r="I35" s="4">
        <f>G35-H35-E35</f>
        <v/>
      </c>
      <c r="J35" s="4">
        <f>I35*B35</f>
        <v/>
      </c>
      <c r="K35" s="4">
        <f>SUM($I$31:I35)</f>
        <v/>
      </c>
      <c r="L35" s="4">
        <f>$C$5*G35</f>
        <v/>
      </c>
      <c r="M35" s="4">
        <f>G35-L35-E35</f>
        <v/>
      </c>
      <c r="N35" s="4">
        <f>M35*B35</f>
        <v/>
      </c>
      <c r="O35" s="4">
        <f>SUM($M$31:M35)</f>
        <v/>
      </c>
    </row>
    <row r="36">
      <c r="A36" t="n">
        <v>5</v>
      </c>
      <c r="B36" s="3">
        <f>1/(1+$B$6)^A36</f>
        <v/>
      </c>
      <c r="C36">
        <f>IF(A36&lt;$B$8,1,0)</f>
        <v/>
      </c>
      <c r="D36">
        <f>IF(AND(A36&gt;=$B$8,A36&lt;$B$8+$B$7),1,0)</f>
        <v/>
      </c>
      <c r="E36" s="4">
        <f>C36*$B$9/$B$8</f>
        <v/>
      </c>
      <c r="F36" s="7">
        <f>D36*$B$14</f>
        <v/>
      </c>
      <c r="G36" s="4">
        <f>F36*$B$13/1000</f>
        <v/>
      </c>
      <c r="H36" s="4">
        <f>$B$5*G36</f>
        <v/>
      </c>
      <c r="I36" s="4">
        <f>G36-H36-E36</f>
        <v/>
      </c>
      <c r="J36" s="4">
        <f>I36*B36</f>
        <v/>
      </c>
      <c r="K36" s="4">
        <f>SUM($I$31:I36)</f>
        <v/>
      </c>
      <c r="L36" s="4">
        <f>$C$5*G36</f>
        <v/>
      </c>
      <c r="M36" s="4">
        <f>G36-L36-E36</f>
        <v/>
      </c>
      <c r="N36" s="4">
        <f>M36*B36</f>
        <v/>
      </c>
      <c r="O36" s="4">
        <f>SUM($M$31:M36)</f>
        <v/>
      </c>
    </row>
    <row r="37">
      <c r="A37" t="n">
        <v>6</v>
      </c>
      <c r="B37" s="3">
        <f>1/(1+$B$6)^A37</f>
        <v/>
      </c>
      <c r="C37">
        <f>IF(A37&lt;$B$8,1,0)</f>
        <v/>
      </c>
      <c r="D37">
        <f>IF(AND(A37&gt;=$B$8,A37&lt;$B$8+$B$7),1,0)</f>
        <v/>
      </c>
      <c r="E37" s="4">
        <f>C37*$B$9/$B$8</f>
        <v/>
      </c>
      <c r="F37" s="7">
        <f>D37*$B$14</f>
        <v/>
      </c>
      <c r="G37" s="4">
        <f>F37*$B$13/1000</f>
        <v/>
      </c>
      <c r="H37" s="4">
        <f>$B$5*G37</f>
        <v/>
      </c>
      <c r="I37" s="4">
        <f>G37-H37-E37</f>
        <v/>
      </c>
      <c r="J37" s="4">
        <f>I37*B37</f>
        <v/>
      </c>
      <c r="K37" s="4">
        <f>SUM($I$31:I37)</f>
        <v/>
      </c>
      <c r="L37" s="4">
        <f>$C$5*G37</f>
        <v/>
      </c>
      <c r="M37" s="4">
        <f>G37-L37-E37</f>
        <v/>
      </c>
      <c r="N37" s="4">
        <f>M37*B37</f>
        <v/>
      </c>
      <c r="O37" s="4">
        <f>SUM($M$31:M37)</f>
        <v/>
      </c>
    </row>
    <row r="38">
      <c r="A38" t="n">
        <v>7</v>
      </c>
      <c r="B38" s="3">
        <f>1/(1+$B$6)^A38</f>
        <v/>
      </c>
      <c r="C38">
        <f>IF(A38&lt;$B$8,1,0)</f>
        <v/>
      </c>
      <c r="D38">
        <f>IF(AND(A38&gt;=$B$8,A38&lt;$B$8+$B$7),1,0)</f>
        <v/>
      </c>
      <c r="E38" s="4">
        <f>C38*$B$9/$B$8</f>
        <v/>
      </c>
      <c r="F38" s="7">
        <f>D38*$B$14</f>
        <v/>
      </c>
      <c r="G38" s="4">
        <f>F38*$B$13/1000</f>
        <v/>
      </c>
      <c r="H38" s="4">
        <f>$B$5*G38</f>
        <v/>
      </c>
      <c r="I38" s="4">
        <f>G38-H38-E38</f>
        <v/>
      </c>
      <c r="J38" s="4">
        <f>I38*B38</f>
        <v/>
      </c>
      <c r="K38" s="4">
        <f>SUM($I$31:I38)</f>
        <v/>
      </c>
      <c r="L38" s="4">
        <f>$C$5*G38</f>
        <v/>
      </c>
      <c r="M38" s="4">
        <f>G38-L38-E38</f>
        <v/>
      </c>
      <c r="N38" s="4">
        <f>M38*B38</f>
        <v/>
      </c>
      <c r="O38" s="4">
        <f>SUM($M$31:M38)</f>
        <v/>
      </c>
    </row>
    <row r="39">
      <c r="A39" t="n">
        <v>8</v>
      </c>
      <c r="B39" s="3">
        <f>1/(1+$B$6)^A39</f>
        <v/>
      </c>
      <c r="C39">
        <f>IF(A39&lt;$B$8,1,0)</f>
        <v/>
      </c>
      <c r="D39">
        <f>IF(AND(A39&gt;=$B$8,A39&lt;$B$8+$B$7),1,0)</f>
        <v/>
      </c>
      <c r="E39" s="4">
        <f>C39*$B$9/$B$8</f>
        <v/>
      </c>
      <c r="F39" s="7">
        <f>D39*$B$14</f>
        <v/>
      </c>
      <c r="G39" s="4">
        <f>F39*$B$13/1000</f>
        <v/>
      </c>
      <c r="H39" s="4">
        <f>$B$5*G39</f>
        <v/>
      </c>
      <c r="I39" s="4">
        <f>G39-H39-E39</f>
        <v/>
      </c>
      <c r="J39" s="4">
        <f>I39*B39</f>
        <v/>
      </c>
      <c r="K39" s="4">
        <f>SUM($I$31:I39)</f>
        <v/>
      </c>
      <c r="L39" s="4">
        <f>$C$5*G39</f>
        <v/>
      </c>
      <c r="M39" s="4">
        <f>G39-L39-E39</f>
        <v/>
      </c>
      <c r="N39" s="4">
        <f>M39*B39</f>
        <v/>
      </c>
      <c r="O39" s="4">
        <f>SUM($M$31:M39)</f>
        <v/>
      </c>
    </row>
    <row r="40">
      <c r="A40" t="n">
        <v>9</v>
      </c>
      <c r="B40" s="3">
        <f>1/(1+$B$6)^A40</f>
        <v/>
      </c>
      <c r="C40">
        <f>IF(A40&lt;$B$8,1,0)</f>
        <v/>
      </c>
      <c r="D40">
        <f>IF(AND(A40&gt;=$B$8,A40&lt;$B$8+$B$7),1,0)</f>
        <v/>
      </c>
      <c r="E40" s="4">
        <f>C40*$B$9/$B$8</f>
        <v/>
      </c>
      <c r="F40" s="7">
        <f>D40*$B$14</f>
        <v/>
      </c>
      <c r="G40" s="4">
        <f>F40*$B$13/1000</f>
        <v/>
      </c>
      <c r="H40" s="4">
        <f>$B$5*G40</f>
        <v/>
      </c>
      <c r="I40" s="4">
        <f>G40-H40-E40</f>
        <v/>
      </c>
      <c r="J40" s="4">
        <f>I40*B40</f>
        <v/>
      </c>
      <c r="K40" s="4">
        <f>SUM($I$31:I40)</f>
        <v/>
      </c>
      <c r="L40" s="4">
        <f>$C$5*G40</f>
        <v/>
      </c>
      <c r="M40" s="4">
        <f>G40-L40-E40</f>
        <v/>
      </c>
      <c r="N40" s="4">
        <f>M40*B40</f>
        <v/>
      </c>
      <c r="O40" s="4">
        <f>SUM($M$31:M40)</f>
        <v/>
      </c>
    </row>
    <row r="41">
      <c r="A41" t="n">
        <v>10</v>
      </c>
      <c r="B41" s="3">
        <f>1/(1+$B$6)^A41</f>
        <v/>
      </c>
      <c r="C41">
        <f>IF(A41&lt;$B$8,1,0)</f>
        <v/>
      </c>
      <c r="D41">
        <f>IF(AND(A41&gt;=$B$8,A41&lt;$B$8+$B$7),1,0)</f>
        <v/>
      </c>
      <c r="E41" s="4">
        <f>C41*$B$9/$B$8</f>
        <v/>
      </c>
      <c r="F41" s="7">
        <f>D41*$B$14</f>
        <v/>
      </c>
      <c r="G41" s="4">
        <f>F41*$B$13/1000</f>
        <v/>
      </c>
      <c r="H41" s="4">
        <f>$B$5*G41</f>
        <v/>
      </c>
      <c r="I41" s="4">
        <f>G41-H41-E41</f>
        <v/>
      </c>
      <c r="J41" s="4">
        <f>I41*B41</f>
        <v/>
      </c>
      <c r="K41" s="4">
        <f>SUM($I$31:I41)</f>
        <v/>
      </c>
      <c r="L41" s="4">
        <f>$C$5*G41</f>
        <v/>
      </c>
      <c r="M41" s="4">
        <f>G41-L41-E41</f>
        <v/>
      </c>
      <c r="N41" s="4">
        <f>M41*B41</f>
        <v/>
      </c>
      <c r="O41" s="4">
        <f>SUM($M$31:M41)</f>
        <v/>
      </c>
    </row>
    <row r="42">
      <c r="A42" t="n">
        <v>11</v>
      </c>
      <c r="B42" s="3">
        <f>1/(1+$B$6)^A42</f>
        <v/>
      </c>
      <c r="C42">
        <f>IF(A42&lt;$B$8,1,0)</f>
        <v/>
      </c>
      <c r="D42">
        <f>IF(AND(A42&gt;=$B$8,A42&lt;$B$8+$B$7),1,0)</f>
        <v/>
      </c>
      <c r="E42" s="4">
        <f>C42*$B$9/$B$8</f>
        <v/>
      </c>
      <c r="F42" s="7">
        <f>D42*$B$14</f>
        <v/>
      </c>
      <c r="G42" s="4">
        <f>F42*$B$13/1000</f>
        <v/>
      </c>
      <c r="H42" s="4">
        <f>$B$5*G42</f>
        <v/>
      </c>
      <c r="I42" s="4">
        <f>G42-H42-E42</f>
        <v/>
      </c>
      <c r="J42" s="4">
        <f>I42*B42</f>
        <v/>
      </c>
      <c r="K42" s="4">
        <f>SUM($I$31:I42)</f>
        <v/>
      </c>
      <c r="L42" s="4">
        <f>$C$5*G42</f>
        <v/>
      </c>
      <c r="M42" s="4">
        <f>G42-L42-E42</f>
        <v/>
      </c>
      <c r="N42" s="4">
        <f>M42*B42</f>
        <v/>
      </c>
      <c r="O42" s="4">
        <f>SUM($M$31:M42)</f>
        <v/>
      </c>
    </row>
    <row r="43">
      <c r="A43" t="n">
        <v>12</v>
      </c>
      <c r="B43" s="3">
        <f>1/(1+$B$6)^A43</f>
        <v/>
      </c>
      <c r="C43">
        <f>IF(A43&lt;$B$8,1,0)</f>
        <v/>
      </c>
      <c r="D43">
        <f>IF(AND(A43&gt;=$B$8,A43&lt;$B$8+$B$7),1,0)</f>
        <v/>
      </c>
      <c r="E43" s="4">
        <f>C43*$B$9/$B$8</f>
        <v/>
      </c>
      <c r="F43" s="7">
        <f>D43*$B$14</f>
        <v/>
      </c>
      <c r="G43" s="4">
        <f>F43*$B$13/1000</f>
        <v/>
      </c>
      <c r="H43" s="4">
        <f>$B$5*G43</f>
        <v/>
      </c>
      <c r="I43" s="4">
        <f>G43-H43-E43</f>
        <v/>
      </c>
      <c r="J43" s="4">
        <f>I43*B43</f>
        <v/>
      </c>
      <c r="K43" s="4">
        <f>SUM($I$31:I43)</f>
        <v/>
      </c>
      <c r="L43" s="4">
        <f>$C$5*G43</f>
        <v/>
      </c>
      <c r="M43" s="4">
        <f>G43-L43-E43</f>
        <v/>
      </c>
      <c r="N43" s="4">
        <f>M43*B43</f>
        <v/>
      </c>
      <c r="O43" s="4">
        <f>SUM($M$31:M43)</f>
        <v/>
      </c>
    </row>
    <row r="44">
      <c r="A44" t="n">
        <v>13</v>
      </c>
      <c r="B44" s="3">
        <f>1/(1+$B$6)^A44</f>
        <v/>
      </c>
      <c r="C44">
        <f>IF(A44&lt;$B$8,1,0)</f>
        <v/>
      </c>
      <c r="D44">
        <f>IF(AND(A44&gt;=$B$8,A44&lt;$B$8+$B$7),1,0)</f>
        <v/>
      </c>
      <c r="E44" s="4">
        <f>C44*$B$9/$B$8</f>
        <v/>
      </c>
      <c r="F44" s="7">
        <f>D44*$B$14</f>
        <v/>
      </c>
      <c r="G44" s="4">
        <f>F44*$B$13/1000</f>
        <v/>
      </c>
      <c r="H44" s="4">
        <f>$B$5*G44</f>
        <v/>
      </c>
      <c r="I44" s="4">
        <f>G44-H44-E44</f>
        <v/>
      </c>
      <c r="J44" s="4">
        <f>I44*B44</f>
        <v/>
      </c>
      <c r="K44" s="4">
        <f>SUM($I$31:I44)</f>
        <v/>
      </c>
      <c r="L44" s="4">
        <f>$C$5*G44</f>
        <v/>
      </c>
      <c r="M44" s="4">
        <f>G44-L44-E44</f>
        <v/>
      </c>
      <c r="N44" s="4">
        <f>M44*B44</f>
        <v/>
      </c>
      <c r="O44" s="4">
        <f>SUM($M$31:M44)</f>
        <v/>
      </c>
    </row>
    <row r="45">
      <c r="A45" t="n">
        <v>14</v>
      </c>
      <c r="B45" s="3">
        <f>1/(1+$B$6)^A45</f>
        <v/>
      </c>
      <c r="C45">
        <f>IF(A45&lt;$B$8,1,0)</f>
        <v/>
      </c>
      <c r="D45">
        <f>IF(AND(A45&gt;=$B$8,A45&lt;$B$8+$B$7),1,0)</f>
        <v/>
      </c>
      <c r="E45" s="4">
        <f>C45*$B$9/$B$8</f>
        <v/>
      </c>
      <c r="F45" s="7">
        <f>D45*$B$14</f>
        <v/>
      </c>
      <c r="G45" s="4">
        <f>F45*$B$13/1000</f>
        <v/>
      </c>
      <c r="H45" s="4">
        <f>$B$5*G45</f>
        <v/>
      </c>
      <c r="I45" s="4">
        <f>G45-H45-E45</f>
        <v/>
      </c>
      <c r="J45" s="4">
        <f>I45*B45</f>
        <v/>
      </c>
      <c r="K45" s="4">
        <f>SUM($I$31:I45)</f>
        <v/>
      </c>
      <c r="L45" s="4">
        <f>$C$5*G45</f>
        <v/>
      </c>
      <c r="M45" s="4">
        <f>G45-L45-E45</f>
        <v/>
      </c>
      <c r="N45" s="4">
        <f>M45*B45</f>
        <v/>
      </c>
      <c r="O45" s="4">
        <f>SUM($M$31:M45)</f>
        <v/>
      </c>
    </row>
    <row r="46">
      <c r="A46" t="n">
        <v>15</v>
      </c>
      <c r="B46" s="3">
        <f>1/(1+$B$6)^A46</f>
        <v/>
      </c>
      <c r="C46">
        <f>IF(A46&lt;$B$8,1,0)</f>
        <v/>
      </c>
      <c r="D46">
        <f>IF(AND(A46&gt;=$B$8,A46&lt;$B$8+$B$7),1,0)</f>
        <v/>
      </c>
      <c r="E46" s="4">
        <f>C46*$B$9/$B$8</f>
        <v/>
      </c>
      <c r="F46" s="7">
        <f>D46*$B$14</f>
        <v/>
      </c>
      <c r="G46" s="4">
        <f>F46*$B$13/1000</f>
        <v/>
      </c>
      <c r="H46" s="4">
        <f>$B$5*G46</f>
        <v/>
      </c>
      <c r="I46" s="4">
        <f>G46-H46-E46</f>
        <v/>
      </c>
      <c r="J46" s="4">
        <f>I46*B46</f>
        <v/>
      </c>
      <c r="K46" s="4">
        <f>SUM($I$31:I46)</f>
        <v/>
      </c>
      <c r="L46" s="4">
        <f>$C$5*G46</f>
        <v/>
      </c>
      <c r="M46" s="4">
        <f>G46-L46-E46</f>
        <v/>
      </c>
      <c r="N46" s="4">
        <f>M46*B46</f>
        <v/>
      </c>
      <c r="O46" s="4">
        <f>SUM($M$31:M46)</f>
        <v/>
      </c>
    </row>
    <row r="47">
      <c r="A47" t="n">
        <v>16</v>
      </c>
      <c r="B47" s="3">
        <f>1/(1+$B$6)^A47</f>
        <v/>
      </c>
      <c r="C47">
        <f>IF(A47&lt;$B$8,1,0)</f>
        <v/>
      </c>
      <c r="D47">
        <f>IF(AND(A47&gt;=$B$8,A47&lt;$B$8+$B$7),1,0)</f>
        <v/>
      </c>
      <c r="E47" s="4">
        <f>C47*$B$9/$B$8</f>
        <v/>
      </c>
      <c r="F47" s="7">
        <f>D47*$B$14</f>
        <v/>
      </c>
      <c r="G47" s="4">
        <f>F47*$B$13/1000</f>
        <v/>
      </c>
      <c r="H47" s="4">
        <f>$B$5*G47</f>
        <v/>
      </c>
      <c r="I47" s="4">
        <f>G47-H47-E47</f>
        <v/>
      </c>
      <c r="J47" s="4">
        <f>I47*B47</f>
        <v/>
      </c>
      <c r="K47" s="4">
        <f>SUM($I$31:I47)</f>
        <v/>
      </c>
      <c r="L47" s="4">
        <f>$C$5*G47</f>
        <v/>
      </c>
      <c r="M47" s="4">
        <f>G47-L47-E47</f>
        <v/>
      </c>
      <c r="N47" s="4">
        <f>M47*B47</f>
        <v/>
      </c>
      <c r="O47" s="4">
        <f>SUM($M$31:M47)</f>
        <v/>
      </c>
    </row>
    <row r="48">
      <c r="A48" t="n">
        <v>17</v>
      </c>
      <c r="B48" s="3">
        <f>1/(1+$B$6)^A48</f>
        <v/>
      </c>
      <c r="C48">
        <f>IF(A48&lt;$B$8,1,0)</f>
        <v/>
      </c>
      <c r="D48">
        <f>IF(AND(A48&gt;=$B$8,A48&lt;$B$8+$B$7),1,0)</f>
        <v/>
      </c>
      <c r="E48" s="4">
        <f>C48*$B$9/$B$8</f>
        <v/>
      </c>
      <c r="F48" s="7">
        <f>D48*$B$14</f>
        <v/>
      </c>
      <c r="G48" s="4">
        <f>F48*$B$13/1000</f>
        <v/>
      </c>
      <c r="H48" s="4">
        <f>$B$5*G48</f>
        <v/>
      </c>
      <c r="I48" s="4">
        <f>G48-H48-E48</f>
        <v/>
      </c>
      <c r="J48" s="4">
        <f>I48*B48</f>
        <v/>
      </c>
      <c r="K48" s="4">
        <f>SUM($I$31:I48)</f>
        <v/>
      </c>
      <c r="L48" s="4">
        <f>$C$5*G48</f>
        <v/>
      </c>
      <c r="M48" s="4">
        <f>G48-L48-E48</f>
        <v/>
      </c>
      <c r="N48" s="4">
        <f>M48*B48</f>
        <v/>
      </c>
      <c r="O48" s="4">
        <f>SUM($M$31:M48)</f>
        <v/>
      </c>
    </row>
    <row r="49">
      <c r="A49" t="n">
        <v>18</v>
      </c>
      <c r="B49" s="3">
        <f>1/(1+$B$6)^A49</f>
        <v/>
      </c>
      <c r="C49">
        <f>IF(A49&lt;$B$8,1,0)</f>
        <v/>
      </c>
      <c r="D49">
        <f>IF(AND(A49&gt;=$B$8,A49&lt;$B$8+$B$7),1,0)</f>
        <v/>
      </c>
      <c r="E49" s="4">
        <f>C49*$B$9/$B$8</f>
        <v/>
      </c>
      <c r="F49" s="7">
        <f>D49*$B$14</f>
        <v/>
      </c>
      <c r="G49" s="4">
        <f>F49*$B$13/1000</f>
        <v/>
      </c>
      <c r="H49" s="4">
        <f>$B$5*G49</f>
        <v/>
      </c>
      <c r="I49" s="4">
        <f>G49-H49-E49</f>
        <v/>
      </c>
      <c r="J49" s="4">
        <f>I49*B49</f>
        <v/>
      </c>
      <c r="K49" s="4">
        <f>SUM($I$31:I49)</f>
        <v/>
      </c>
      <c r="L49" s="4">
        <f>$C$5*G49</f>
        <v/>
      </c>
      <c r="M49" s="4">
        <f>G49-L49-E49</f>
        <v/>
      </c>
      <c r="N49" s="4">
        <f>M49*B49</f>
        <v/>
      </c>
      <c r="O49" s="4">
        <f>SUM($M$31:M49)</f>
        <v/>
      </c>
    </row>
    <row r="50">
      <c r="A50" t="n">
        <v>19</v>
      </c>
      <c r="B50" s="3">
        <f>1/(1+$B$6)^A50</f>
        <v/>
      </c>
      <c r="C50">
        <f>IF(A50&lt;$B$8,1,0)</f>
        <v/>
      </c>
      <c r="D50">
        <f>IF(AND(A50&gt;=$B$8,A50&lt;$B$8+$B$7),1,0)</f>
        <v/>
      </c>
      <c r="E50" s="4">
        <f>C50*$B$9/$B$8</f>
        <v/>
      </c>
      <c r="F50" s="7">
        <f>D50*$B$14</f>
        <v/>
      </c>
      <c r="G50" s="4">
        <f>F50*$B$13/1000</f>
        <v/>
      </c>
      <c r="H50" s="4">
        <f>$B$5*G50</f>
        <v/>
      </c>
      <c r="I50" s="4">
        <f>G50-H50-E50</f>
        <v/>
      </c>
      <c r="J50" s="4">
        <f>I50*B50</f>
        <v/>
      </c>
      <c r="K50" s="4">
        <f>SUM($I$31:I50)</f>
        <v/>
      </c>
      <c r="L50" s="4">
        <f>$C$5*G50</f>
        <v/>
      </c>
      <c r="M50" s="4">
        <f>G50-L50-E50</f>
        <v/>
      </c>
      <c r="N50" s="4">
        <f>M50*B50</f>
        <v/>
      </c>
      <c r="O50" s="4">
        <f>SUM($M$31:M50)</f>
        <v/>
      </c>
    </row>
    <row r="51">
      <c r="A51" t="n">
        <v>20</v>
      </c>
      <c r="B51" s="3">
        <f>1/(1+$B$6)^A51</f>
        <v/>
      </c>
      <c r="C51">
        <f>IF(A51&lt;$B$8,1,0)</f>
        <v/>
      </c>
      <c r="D51">
        <f>IF(AND(A51&gt;=$B$8,A51&lt;$B$8+$B$7),1,0)</f>
        <v/>
      </c>
      <c r="E51" s="4">
        <f>C51*$B$9/$B$8</f>
        <v/>
      </c>
      <c r="F51" s="7">
        <f>D51*$B$14</f>
        <v/>
      </c>
      <c r="G51" s="4">
        <f>F51*$B$13/1000</f>
        <v/>
      </c>
      <c r="H51" s="4">
        <f>$B$5*G51</f>
        <v/>
      </c>
      <c r="I51" s="4">
        <f>G51-H51-E51</f>
        <v/>
      </c>
      <c r="J51" s="4">
        <f>I51*B51</f>
        <v/>
      </c>
      <c r="K51" s="4">
        <f>SUM($I$31:I51)</f>
        <v/>
      </c>
      <c r="L51" s="4">
        <f>$C$5*G51</f>
        <v/>
      </c>
      <c r="M51" s="4">
        <f>G51-L51-E51</f>
        <v/>
      </c>
      <c r="N51" s="4">
        <f>M51*B51</f>
        <v/>
      </c>
      <c r="O51" s="4">
        <f>SUM($M$31:M51)</f>
        <v/>
      </c>
    </row>
    <row r="52">
      <c r="A52" t="n">
        <v>21</v>
      </c>
      <c r="B52" s="3">
        <f>1/(1+$B$6)^A52</f>
        <v/>
      </c>
      <c r="C52">
        <f>IF(A52&lt;$B$8,1,0)</f>
        <v/>
      </c>
      <c r="D52">
        <f>IF(AND(A52&gt;=$B$8,A52&lt;$B$8+$B$7),1,0)</f>
        <v/>
      </c>
      <c r="E52" s="4">
        <f>C52*$B$9/$B$8</f>
        <v/>
      </c>
      <c r="F52" s="7">
        <f>D52*$B$14</f>
        <v/>
      </c>
      <c r="G52" s="4">
        <f>F52*$B$13/1000</f>
        <v/>
      </c>
      <c r="H52" s="4">
        <f>$B$5*G52</f>
        <v/>
      </c>
      <c r="I52" s="4">
        <f>G52-H52-E52</f>
        <v/>
      </c>
      <c r="J52" s="4">
        <f>I52*B52</f>
        <v/>
      </c>
      <c r="K52" s="4">
        <f>SUM($I$31:I52)</f>
        <v/>
      </c>
      <c r="L52" s="4">
        <f>$C$5*G52</f>
        <v/>
      </c>
      <c r="M52" s="4">
        <f>G52-L52-E52</f>
        <v/>
      </c>
      <c r="N52" s="4">
        <f>M52*B52</f>
        <v/>
      </c>
      <c r="O52" s="4">
        <f>SUM($M$31:M52)</f>
        <v/>
      </c>
    </row>
    <row r="53">
      <c r="A53" t="n">
        <v>22</v>
      </c>
      <c r="B53" s="3">
        <f>1/(1+$B$6)^A53</f>
        <v/>
      </c>
      <c r="C53">
        <f>IF(A53&lt;$B$8,1,0)</f>
        <v/>
      </c>
      <c r="D53">
        <f>IF(AND(A53&gt;=$B$8,A53&lt;$B$8+$B$7),1,0)</f>
        <v/>
      </c>
      <c r="E53" s="4">
        <f>C53*$B$9/$B$8</f>
        <v/>
      </c>
      <c r="F53" s="7">
        <f>D53*$B$14</f>
        <v/>
      </c>
      <c r="G53" s="4">
        <f>F53*$B$13/1000</f>
        <v/>
      </c>
      <c r="H53" s="4">
        <f>$B$5*G53</f>
        <v/>
      </c>
      <c r="I53" s="4">
        <f>G53-H53-E53</f>
        <v/>
      </c>
      <c r="J53" s="4">
        <f>I53*B53</f>
        <v/>
      </c>
      <c r="K53" s="4">
        <f>SUM($I$31:I53)</f>
        <v/>
      </c>
      <c r="L53" s="4">
        <f>$C$5*G53</f>
        <v/>
      </c>
      <c r="M53" s="4">
        <f>G53-L53-E53</f>
        <v/>
      </c>
      <c r="N53" s="4">
        <f>M53*B53</f>
        <v/>
      </c>
      <c r="O53" s="4">
        <f>SUM($M$31:M53)</f>
        <v/>
      </c>
    </row>
    <row r="55">
      <c r="A55" s="2" t="inlineStr">
        <is>
          <t>Sensitivity cases (formula-based). The model reference column is the scratch run of the model on the confirmed basis.</t>
        </is>
      </c>
    </row>
    <row r="56">
      <c r="A56" s="6" t="inlineStr">
        <is>
          <t>Case</t>
        </is>
      </c>
      <c r="B56" s="6" t="inlineStr">
        <is>
          <t>Capex factor</t>
        </is>
      </c>
      <c r="C56" s="6" t="inlineStr">
        <is>
          <t>Opex factor</t>
        </is>
      </c>
      <c r="D56" s="6" t="inlineStr">
        <is>
          <t>Revenue factor</t>
        </is>
      </c>
      <c r="E56" s="6" t="inlineStr">
        <is>
          <t>Opening delay (years)</t>
        </is>
      </c>
      <c r="F56" s="6" t="inlineStr">
        <is>
          <t>Annuity factor AFk</t>
        </is>
      </c>
      <c r="G56" s="6" t="inlineStr">
        <is>
          <t>Operator NPV, confirmed (THB bn)</t>
        </is>
      </c>
      <c r="H56" s="6" t="inlineStr">
        <is>
          <t>Operator NPV, cash basis (THB bn)</t>
        </is>
      </c>
      <c r="I56" s="6" t="inlineStr">
        <is>
          <t>Model reference, confirmed (THB bn)</t>
        </is>
      </c>
      <c r="J56" s="6" t="inlineStr">
        <is>
          <t>Difference (should be about 0)</t>
        </is>
      </c>
    </row>
    <row r="57">
      <c r="A57" t="inlineStr">
        <is>
          <t>base</t>
        </is>
      </c>
      <c r="B57" t="n">
        <v>1</v>
      </c>
      <c r="C57" t="n">
        <v>1</v>
      </c>
      <c r="D57" t="n">
        <v>1</v>
      </c>
      <c r="E57" t="n">
        <v>0</v>
      </c>
      <c r="F57" s="3">
        <f>SUMPRODUCT($B$31:$B$53*($A$31:$A$53&gt;=$B$8+E57)*($A$31:$A$53&lt;$B$8+E57+$B$7))</f>
        <v/>
      </c>
      <c r="G57" s="4">
        <f>(D57-C57*$B$5)*$B$15*F57-B57*$B$27</f>
        <v/>
      </c>
      <c r="H57" s="4">
        <f>(D57-C57*$C$5)*$B$15*F57-B57*$B$27</f>
        <v/>
      </c>
      <c r="I57" s="4" t="n">
        <v>-280.9412696301409</v>
      </c>
      <c r="J57" s="4">
        <f>G57-I57</f>
        <v/>
      </c>
    </row>
    <row r="58">
      <c r="A58" t="inlineStr">
        <is>
          <t>construction cost up 5 percent</t>
        </is>
      </c>
      <c r="B58" t="n">
        <v>1.05</v>
      </c>
      <c r="C58" t="n">
        <v>1</v>
      </c>
      <c r="D58" t="n">
        <v>1</v>
      </c>
      <c r="E58" t="n">
        <v>0</v>
      </c>
      <c r="F58" s="3">
        <f>SUMPRODUCT($B$31:$B$53*($A$31:$A$53&gt;=$B$8+E58)*($A$31:$A$53&lt;$B$8+E58+$B$7))</f>
        <v/>
      </c>
      <c r="G58" s="4">
        <f>(D58-C58*$B$5)*$B$15*F58-B58*$B$27</f>
        <v/>
      </c>
      <c r="H58" s="4">
        <f>(D58-C58*$C$5)*$B$15*F58-B58*$B$27</f>
        <v/>
      </c>
      <c r="I58" s="4" t="n">
        <v>-295.3857140745853</v>
      </c>
      <c r="J58" s="4">
        <f>G58-I58</f>
        <v/>
      </c>
    </row>
    <row r="59">
      <c r="A59" t="inlineStr">
        <is>
          <t>construction cost down 5 percent</t>
        </is>
      </c>
      <c r="B59" t="n">
        <v>0.95</v>
      </c>
      <c r="C59" t="n">
        <v>1</v>
      </c>
      <c r="D59" t="n">
        <v>1</v>
      </c>
      <c r="E59" t="n">
        <v>0</v>
      </c>
      <c r="F59" s="3">
        <f>SUMPRODUCT($B$31:$B$53*($A$31:$A$53&gt;=$B$8+E59)*($A$31:$A$53&lt;$B$8+E59+$B$7))</f>
        <v/>
      </c>
      <c r="G59" s="4">
        <f>(D59-C59*$B$5)*$B$15*F59-B59*$B$27</f>
        <v/>
      </c>
      <c r="H59" s="4">
        <f>(D59-C59*$C$5)*$B$15*F59-B59*$B$27</f>
        <v/>
      </c>
      <c r="I59" s="4" t="n">
        <v>-266.4968251856965</v>
      </c>
      <c r="J59" s="4">
        <f>G59-I59</f>
        <v/>
      </c>
    </row>
    <row r="60">
      <c r="A60" t="inlineStr">
        <is>
          <t>construction cost up 10 percent</t>
        </is>
      </c>
      <c r="B60" t="n">
        <v>1.1</v>
      </c>
      <c r="C60" t="n">
        <v>1</v>
      </c>
      <c r="D60" t="n">
        <v>1</v>
      </c>
      <c r="E60" t="n">
        <v>0</v>
      </c>
      <c r="F60" s="3">
        <f>SUMPRODUCT($B$31:$B$53*($A$31:$A$53&gt;=$B$8+E60)*($A$31:$A$53&lt;$B$8+E60+$B$7))</f>
        <v/>
      </c>
      <c r="G60" s="4">
        <f>(D60-C60*$B$5)*$B$15*F60-B60*$B$27</f>
        <v/>
      </c>
      <c r="H60" s="4">
        <f>(D60-C60*$C$5)*$B$15*F60-B60*$B$27</f>
        <v/>
      </c>
      <c r="I60" s="4" t="n">
        <v>-309.8301585190298</v>
      </c>
      <c r="J60" s="4">
        <f>G60-I60</f>
        <v/>
      </c>
    </row>
    <row r="61">
      <c r="A61" t="inlineStr">
        <is>
          <t>construction cost down 10 percent</t>
        </is>
      </c>
      <c r="B61" t="n">
        <v>0.9</v>
      </c>
      <c r="C61" t="n">
        <v>1</v>
      </c>
      <c r="D61" t="n">
        <v>1</v>
      </c>
      <c r="E61" t="n">
        <v>0</v>
      </c>
      <c r="F61" s="3">
        <f>SUMPRODUCT($B$31:$B$53*($A$31:$A$53&gt;=$B$8+E61)*($A$31:$A$53&lt;$B$8+E61+$B$7))</f>
        <v/>
      </c>
      <c r="G61" s="4">
        <f>(D61-C61*$B$5)*$B$15*F61-B61*$B$27</f>
        <v/>
      </c>
      <c r="H61" s="4">
        <f>(D61-C61*$C$5)*$B$15*F61-B61*$B$27</f>
        <v/>
      </c>
      <c r="I61" s="4" t="n">
        <v>-252.0523807412521</v>
      </c>
      <c r="J61" s="4">
        <f>G61-I61</f>
        <v/>
      </c>
    </row>
    <row r="62">
      <c r="A62" t="inlineStr">
        <is>
          <t>construction cost up 20 percent</t>
        </is>
      </c>
      <c r="B62" t="n">
        <v>1.2</v>
      </c>
      <c r="C62" t="n">
        <v>1</v>
      </c>
      <c r="D62" t="n">
        <v>1</v>
      </c>
      <c r="E62" t="n">
        <v>0</v>
      </c>
      <c r="F62" s="3">
        <f>SUMPRODUCT($B$31:$B$53*($A$31:$A$53&gt;=$B$8+E62)*($A$31:$A$53&lt;$B$8+E62+$B$7))</f>
        <v/>
      </c>
      <c r="G62" s="4">
        <f>(D62-C62*$B$5)*$B$15*F62-B62*$B$27</f>
        <v/>
      </c>
      <c r="H62" s="4">
        <f>(D62-C62*$C$5)*$B$15*F62-B62*$B$27</f>
        <v/>
      </c>
      <c r="I62" s="4" t="n">
        <v>-338.7190474079187</v>
      </c>
      <c r="J62" s="4">
        <f>G62-I62</f>
        <v/>
      </c>
    </row>
    <row r="63">
      <c r="A63" t="inlineStr">
        <is>
          <t>construction cost down 20 percent</t>
        </is>
      </c>
      <c r="B63" t="n">
        <v>0.8</v>
      </c>
      <c r="C63" t="n">
        <v>1</v>
      </c>
      <c r="D63" t="n">
        <v>1</v>
      </c>
      <c r="E63" t="n">
        <v>0</v>
      </c>
      <c r="F63" s="3">
        <f>SUMPRODUCT($B$31:$B$53*($A$31:$A$53&gt;=$B$8+E63)*($A$31:$A$53&lt;$B$8+E63+$B$7))</f>
        <v/>
      </c>
      <c r="G63" s="4">
        <f>(D63-C63*$B$5)*$B$15*F63-B63*$B$27</f>
        <v/>
      </c>
      <c r="H63" s="4">
        <f>(D63-C63*$C$5)*$B$15*F63-B63*$B$27</f>
        <v/>
      </c>
      <c r="I63" s="4" t="n">
        <v>-223.1634918523632</v>
      </c>
      <c r="J63" s="4">
        <f>G63-I63</f>
        <v/>
      </c>
    </row>
    <row r="64">
      <c r="A64" t="inlineStr">
        <is>
          <t>operating and maintenance cost up 5 percent</t>
        </is>
      </c>
      <c r="B64" t="n">
        <v>1</v>
      </c>
      <c r="C64" t="n">
        <v>1.05</v>
      </c>
      <c r="D64" t="n">
        <v>1</v>
      </c>
      <c r="E64" t="n">
        <v>0</v>
      </c>
      <c r="F64" s="3">
        <f>SUMPRODUCT($B$31:$B$53*($A$31:$A$53&gt;=$B$8+E64)*($A$31:$A$53&lt;$B$8+E64+$B$7))</f>
        <v/>
      </c>
      <c r="G64" s="4">
        <f>(D64-C64*$B$5)*$B$15*F64-B64*$B$27</f>
        <v/>
      </c>
      <c r="H64" s="4">
        <f>(D64-C64*$C$5)*$B$15*F64-B64*$B$27</f>
        <v/>
      </c>
      <c r="I64" s="4" t="n">
        <v>-286.9844229125422</v>
      </c>
      <c r="J64" s="4">
        <f>G64-I64</f>
        <v/>
      </c>
    </row>
    <row r="65">
      <c r="A65" t="inlineStr">
        <is>
          <t>operating and maintenance cost down 5 percent</t>
        </is>
      </c>
      <c r="B65" t="n">
        <v>1</v>
      </c>
      <c r="C65" t="n">
        <v>0.95</v>
      </c>
      <c r="D65" t="n">
        <v>1</v>
      </c>
      <c r="E65" t="n">
        <v>0</v>
      </c>
      <c r="F65" s="3">
        <f>SUMPRODUCT($B$31:$B$53*($A$31:$A$53&gt;=$B$8+E65)*($A$31:$A$53&lt;$B$8+E65+$B$7))</f>
        <v/>
      </c>
      <c r="G65" s="4">
        <f>(D65-C65*$B$5)*$B$15*F65-B65*$B$27</f>
        <v/>
      </c>
      <c r="H65" s="4">
        <f>(D65-C65*$C$5)*$B$15*F65-B65*$B$27</f>
        <v/>
      </c>
      <c r="I65" s="4" t="n">
        <v>-274.8981163477397</v>
      </c>
      <c r="J65" s="4">
        <f>G65-I65</f>
        <v/>
      </c>
    </row>
    <row r="66">
      <c r="A66" t="inlineStr">
        <is>
          <t>operating and maintenance cost up 10 percent</t>
        </is>
      </c>
      <c r="B66" t="n">
        <v>1</v>
      </c>
      <c r="C66" t="n">
        <v>1.1</v>
      </c>
      <c r="D66" t="n">
        <v>1</v>
      </c>
      <c r="E66" t="n">
        <v>0</v>
      </c>
      <c r="F66" s="3">
        <f>SUMPRODUCT($B$31:$B$53*($A$31:$A$53&gt;=$B$8+E66)*($A$31:$A$53&lt;$B$8+E66+$B$7))</f>
        <v/>
      </c>
      <c r="G66" s="4">
        <f>(D66-C66*$B$5)*$B$15*F66-B66*$B$27</f>
        <v/>
      </c>
      <c r="H66" s="4">
        <f>(D66-C66*$C$5)*$B$15*F66-B66*$B$27</f>
        <v/>
      </c>
      <c r="I66" s="4" t="n">
        <v>-293.0275761949435</v>
      </c>
      <c r="J66" s="4">
        <f>G66-I66</f>
        <v/>
      </c>
    </row>
    <row r="67">
      <c r="A67" t="inlineStr">
        <is>
          <t>operating and maintenance cost down 10 percent</t>
        </is>
      </c>
      <c r="B67" t="n">
        <v>1</v>
      </c>
      <c r="C67" t="n">
        <v>0.9</v>
      </c>
      <c r="D67" t="n">
        <v>1</v>
      </c>
      <c r="E67" t="n">
        <v>0</v>
      </c>
      <c r="F67" s="3">
        <f>SUMPRODUCT($B$31:$B$53*($A$31:$A$53&gt;=$B$8+E67)*($A$31:$A$53&lt;$B$8+E67+$B$7))</f>
        <v/>
      </c>
      <c r="G67" s="4">
        <f>(D67-C67*$B$5)*$B$15*F67-B67*$B$27</f>
        <v/>
      </c>
      <c r="H67" s="4">
        <f>(D67-C67*$C$5)*$B$15*F67-B67*$B$27</f>
        <v/>
      </c>
      <c r="I67" s="4" t="n">
        <v>-268.8549630653384</v>
      </c>
      <c r="J67" s="4">
        <f>G67-I67</f>
        <v/>
      </c>
    </row>
    <row r="68">
      <c r="A68" t="inlineStr">
        <is>
          <t>operating and maintenance cost up 20 percent</t>
        </is>
      </c>
      <c r="B68" t="n">
        <v>1</v>
      </c>
      <c r="C68" t="n">
        <v>1.2</v>
      </c>
      <c r="D68" t="n">
        <v>1</v>
      </c>
      <c r="E68" t="n">
        <v>0</v>
      </c>
      <c r="F68" s="3">
        <f>SUMPRODUCT($B$31:$B$53*($A$31:$A$53&gt;=$B$8+E68)*($A$31:$A$53&lt;$B$8+E68+$B$7))</f>
        <v/>
      </c>
      <c r="G68" s="4">
        <f>(D68-C68*$B$5)*$B$15*F68-B68*$B$27</f>
        <v/>
      </c>
      <c r="H68" s="4">
        <f>(D68-C68*$C$5)*$B$15*F68-B68*$B$27</f>
        <v/>
      </c>
      <c r="I68" s="4" t="n">
        <v>-305.113882759746</v>
      </c>
      <c r="J68" s="4">
        <f>G68-I68</f>
        <v/>
      </c>
    </row>
    <row r="69">
      <c r="A69" t="inlineStr">
        <is>
          <t>operating and maintenance cost down 20 percent</t>
        </is>
      </c>
      <c r="B69" t="n">
        <v>1</v>
      </c>
      <c r="C69" t="n">
        <v>0.8</v>
      </c>
      <c r="D69" t="n">
        <v>1</v>
      </c>
      <c r="E69" t="n">
        <v>0</v>
      </c>
      <c r="F69" s="3">
        <f>SUMPRODUCT($B$31:$B$53*($A$31:$A$53&gt;=$B$8+E69)*($A$31:$A$53&lt;$B$8+E69+$B$7))</f>
        <v/>
      </c>
      <c r="G69" s="4">
        <f>(D69-C69*$B$5)*$B$15*F69-B69*$B$27</f>
        <v/>
      </c>
      <c r="H69" s="4">
        <f>(D69-C69*$C$5)*$B$15*F69-B69*$B$27</f>
        <v/>
      </c>
      <c r="I69" s="4" t="n">
        <v>-256.7686565005357</v>
      </c>
      <c r="J69" s="4">
        <f>G69-I69</f>
        <v/>
      </c>
    </row>
    <row r="70">
      <c r="A70" t="inlineStr">
        <is>
          <t>revenue up 5 percent</t>
        </is>
      </c>
      <c r="B70" t="n">
        <v>1</v>
      </c>
      <c r="C70" t="n">
        <v>1</v>
      </c>
      <c r="D70" t="n">
        <v>1.05</v>
      </c>
      <c r="E70" t="n">
        <v>0</v>
      </c>
      <c r="F70" s="3">
        <f>SUMPRODUCT($B$31:$B$53*($A$31:$A$53&gt;=$B$8+E70)*($A$31:$A$53&lt;$B$8+E70+$B$7))</f>
        <v/>
      </c>
      <c r="G70" s="4">
        <f>(D70-C70*$B$5)*$B$15*F70-B70*$B$27</f>
        <v/>
      </c>
      <c r="H70" s="4">
        <f>(D70-C70*$C$5)*$B$15*F70-B70*$B$27</f>
        <v/>
      </c>
      <c r="I70" s="4" t="n">
        <v>-274.5007353848023</v>
      </c>
      <c r="J70" s="4">
        <f>G70-I70</f>
        <v/>
      </c>
    </row>
    <row r="71">
      <c r="A71" t="inlineStr">
        <is>
          <t>revenue down 5 percent</t>
        </is>
      </c>
      <c r="B71" t="n">
        <v>1</v>
      </c>
      <c r="C71" t="n">
        <v>1</v>
      </c>
      <c r="D71" t="n">
        <v>0.95</v>
      </c>
      <c r="E71" t="n">
        <v>0</v>
      </c>
      <c r="F71" s="3">
        <f>SUMPRODUCT($B$31:$B$53*($A$31:$A$53&gt;=$B$8+E71)*($A$31:$A$53&lt;$B$8+E71+$B$7))</f>
        <v/>
      </c>
      <c r="G71" s="4">
        <f>(D71-C71*$B$5)*$B$15*F71-B71*$B$27</f>
        <v/>
      </c>
      <c r="H71" s="4">
        <f>(D71-C71*$C$5)*$B$15*F71-B71*$B$27</f>
        <v/>
      </c>
      <c r="I71" s="4" t="n">
        <v>-287.3818038754797</v>
      </c>
      <c r="J71" s="4">
        <f>G71-I71</f>
        <v/>
      </c>
    </row>
    <row r="72">
      <c r="A72" t="inlineStr">
        <is>
          <t>revenue up 10 percent</t>
        </is>
      </c>
      <c r="B72" t="n">
        <v>1</v>
      </c>
      <c r="C72" t="n">
        <v>1</v>
      </c>
      <c r="D72" t="n">
        <v>1.1</v>
      </c>
      <c r="E72" t="n">
        <v>0</v>
      </c>
      <c r="F72" s="3">
        <f>SUMPRODUCT($B$31:$B$53*($A$31:$A$53&gt;=$B$8+E72)*($A$31:$A$53&lt;$B$8+E72+$B$7))</f>
        <v/>
      </c>
      <c r="G72" s="4">
        <f>(D72-C72*$B$5)*$B$15*F72-B72*$B$27</f>
        <v/>
      </c>
      <c r="H72" s="4">
        <f>(D72-C72*$C$5)*$B$15*F72-B72*$B$27</f>
        <v/>
      </c>
      <c r="I72" s="4" t="n">
        <v>-268.0602011394636</v>
      </c>
      <c r="J72" s="4">
        <f>G72-I72</f>
        <v/>
      </c>
    </row>
    <row r="73">
      <c r="A73" t="inlineStr">
        <is>
          <t>revenue down 10 percent</t>
        </is>
      </c>
      <c r="B73" t="n">
        <v>1</v>
      </c>
      <c r="C73" t="n">
        <v>1</v>
      </c>
      <c r="D73" t="n">
        <v>0.9</v>
      </c>
      <c r="E73" t="n">
        <v>0</v>
      </c>
      <c r="F73" s="3">
        <f>SUMPRODUCT($B$31:$B$53*($A$31:$A$53&gt;=$B$8+E73)*($A$31:$A$53&lt;$B$8+E73+$B$7))</f>
        <v/>
      </c>
      <c r="G73" s="4">
        <f>(D73-C73*$B$5)*$B$15*F73-B73*$B$27</f>
        <v/>
      </c>
      <c r="H73" s="4">
        <f>(D73-C73*$C$5)*$B$15*F73-B73*$B$27</f>
        <v/>
      </c>
      <c r="I73" s="4" t="n">
        <v>-293.8223381208183</v>
      </c>
      <c r="J73" s="4">
        <f>G73-I73</f>
        <v/>
      </c>
    </row>
    <row r="74">
      <c r="A74" t="inlineStr">
        <is>
          <t>revenue up 20 percent</t>
        </is>
      </c>
      <c r="B74" t="n">
        <v>1</v>
      </c>
      <c r="C74" t="n">
        <v>1</v>
      </c>
      <c r="D74" t="n">
        <v>1.2</v>
      </c>
      <c r="E74" t="n">
        <v>0</v>
      </c>
      <c r="F74" s="3">
        <f>SUMPRODUCT($B$31:$B$53*($A$31:$A$53&gt;=$B$8+E74)*($A$31:$A$53&lt;$B$8+E74+$B$7))</f>
        <v/>
      </c>
      <c r="G74" s="4">
        <f>(D74-C74*$B$5)*$B$15*F74-B74*$B$27</f>
        <v/>
      </c>
      <c r="H74" s="4">
        <f>(D74-C74*$C$5)*$B$15*F74-B74*$B$27</f>
        <v/>
      </c>
      <c r="I74" s="4" t="n">
        <v>-255.1791326487862</v>
      </c>
      <c r="J74" s="4">
        <f>G74-I74</f>
        <v/>
      </c>
    </row>
    <row r="75">
      <c r="A75" t="inlineStr">
        <is>
          <t>revenue down 20 percent</t>
        </is>
      </c>
      <c r="B75" t="n">
        <v>1</v>
      </c>
      <c r="C75" t="n">
        <v>1</v>
      </c>
      <c r="D75" t="n">
        <v>0.8</v>
      </c>
      <c r="E75" t="n">
        <v>0</v>
      </c>
      <c r="F75" s="3">
        <f>SUMPRODUCT($B$31:$B$53*($A$31:$A$53&gt;=$B$8+E75)*($A$31:$A$53&lt;$B$8+E75+$B$7))</f>
        <v/>
      </c>
      <c r="G75" s="4">
        <f>(D75-C75*$B$5)*$B$15*F75-B75*$B$27</f>
        <v/>
      </c>
      <c r="H75" s="4">
        <f>(D75-C75*$C$5)*$B$15*F75-B75*$B$27</f>
        <v/>
      </c>
      <c r="I75" s="4" t="n">
        <v>-306.7034066114956</v>
      </c>
      <c r="J75" s="4">
        <f>G75-I75</f>
        <v/>
      </c>
    </row>
    <row r="76">
      <c r="A76" t="inlineStr">
        <is>
          <t>two factors: construction cost up 5 percent and revenue down 5 percent</t>
        </is>
      </c>
      <c r="B76" t="n">
        <v>1.05</v>
      </c>
      <c r="C76" t="n">
        <v>1</v>
      </c>
      <c r="D76" t="n">
        <v>0.95</v>
      </c>
      <c r="E76" t="n">
        <v>0</v>
      </c>
      <c r="F76" s="3">
        <f>SUMPRODUCT($B$31:$B$53*($A$31:$A$53&gt;=$B$8+E76)*($A$31:$A$53&lt;$B$8+E76+$B$7))</f>
        <v/>
      </c>
      <c r="G76" s="4">
        <f>(D76-C76*$B$5)*$B$15*F76-B76*$B$27</f>
        <v/>
      </c>
      <c r="H76" s="4">
        <f>(D76-C76*$C$5)*$B$15*F76-B76*$B$27</f>
        <v/>
      </c>
      <c r="I76" s="4" t="n">
        <v>-301.8262483199242</v>
      </c>
      <c r="J76" s="4">
        <f>G76-I76</f>
        <v/>
      </c>
    </row>
    <row r="77">
      <c r="A77" t="inlineStr">
        <is>
          <t>two factors: construction cost down 5 percent and revenue up 5 percent</t>
        </is>
      </c>
      <c r="B77" t="n">
        <v>0.95</v>
      </c>
      <c r="C77" t="n">
        <v>1</v>
      </c>
      <c r="D77" t="n">
        <v>1.05</v>
      </c>
      <c r="E77" t="n">
        <v>0</v>
      </c>
      <c r="F77" s="3">
        <f>SUMPRODUCT($B$31:$B$53*($A$31:$A$53&gt;=$B$8+E77)*($A$31:$A$53&lt;$B$8+E77+$B$7))</f>
        <v/>
      </c>
      <c r="G77" s="4">
        <f>(D77-C77*$B$5)*$B$15*F77-B77*$B$27</f>
        <v/>
      </c>
      <c r="H77" s="4">
        <f>(D77-C77*$C$5)*$B$15*F77-B77*$B$27</f>
        <v/>
      </c>
      <c r="I77" s="4" t="n">
        <v>-260.0562909403578</v>
      </c>
      <c r="J77" s="4">
        <f>G77-I77</f>
        <v/>
      </c>
    </row>
    <row r="78">
      <c r="A78" t="inlineStr">
        <is>
          <t>two factors: construction cost up 10 percent and revenue down 10 percent</t>
        </is>
      </c>
      <c r="B78" t="n">
        <v>1.1</v>
      </c>
      <c r="C78" t="n">
        <v>1</v>
      </c>
      <c r="D78" t="n">
        <v>0.9</v>
      </c>
      <c r="E78" t="n">
        <v>0</v>
      </c>
      <c r="F78" s="3">
        <f>SUMPRODUCT($B$31:$B$53*($A$31:$A$53&gt;=$B$8+E78)*($A$31:$A$53&lt;$B$8+E78+$B$7))</f>
        <v/>
      </c>
      <c r="G78" s="4">
        <f>(D78-C78*$B$5)*$B$15*F78-B78*$B$27</f>
        <v/>
      </c>
      <c r="H78" s="4">
        <f>(D78-C78*$C$5)*$B$15*F78-B78*$B$27</f>
        <v/>
      </c>
      <c r="I78" s="4" t="n">
        <v>-322.7112270097072</v>
      </c>
      <c r="J78" s="4">
        <f>G78-I78</f>
        <v/>
      </c>
    </row>
    <row r="79">
      <c r="A79" t="inlineStr">
        <is>
          <t>two factors: construction cost down 10 percent and revenue up 10 percent</t>
        </is>
      </c>
      <c r="B79" t="n">
        <v>0.9</v>
      </c>
      <c r="C79" t="n">
        <v>1</v>
      </c>
      <c r="D79" t="n">
        <v>1.1</v>
      </c>
      <c r="E79" t="n">
        <v>0</v>
      </c>
      <c r="F79" s="3">
        <f>SUMPRODUCT($B$31:$B$53*($A$31:$A$53&gt;=$B$8+E79)*($A$31:$A$53&lt;$B$8+E79+$B$7))</f>
        <v/>
      </c>
      <c r="G79" s="4">
        <f>(D79-C79*$B$5)*$B$15*F79-B79*$B$27</f>
        <v/>
      </c>
      <c r="H79" s="4">
        <f>(D79-C79*$C$5)*$B$15*F79-B79*$B$27</f>
        <v/>
      </c>
      <c r="I79" s="4" t="n">
        <v>-239.1713122505746</v>
      </c>
      <c r="J79" s="4">
        <f>G79-I79</f>
        <v/>
      </c>
    </row>
    <row r="80">
      <c r="A80" t="inlineStr">
        <is>
          <t>two factors: construction cost up 20 percent and revenue down 20 percent</t>
        </is>
      </c>
      <c r="B80" t="n">
        <v>1.2</v>
      </c>
      <c r="C80" t="n">
        <v>1</v>
      </c>
      <c r="D80" t="n">
        <v>0.8</v>
      </c>
      <c r="E80" t="n">
        <v>0</v>
      </c>
      <c r="F80" s="3">
        <f>SUMPRODUCT($B$31:$B$53*($A$31:$A$53&gt;=$B$8+E80)*($A$31:$A$53&lt;$B$8+E80+$B$7))</f>
        <v/>
      </c>
      <c r="G80" s="4">
        <f>(D80-C80*$B$5)*$B$15*F80-B80*$B$27</f>
        <v/>
      </c>
      <c r="H80" s="4">
        <f>(D80-C80*$C$5)*$B$15*F80-B80*$B$27</f>
        <v/>
      </c>
      <c r="I80" s="4" t="n">
        <v>-364.4811843892734</v>
      </c>
      <c r="J80" s="4">
        <f>G80-I80</f>
        <v/>
      </c>
    </row>
    <row r="81">
      <c r="A81" t="inlineStr">
        <is>
          <t>two factors: construction cost down 20 percent and revenue up 20 percent</t>
        </is>
      </c>
      <c r="B81" t="n">
        <v>0.8</v>
      </c>
      <c r="C81" t="n">
        <v>1</v>
      </c>
      <c r="D81" t="n">
        <v>1.2</v>
      </c>
      <c r="E81" t="n">
        <v>0</v>
      </c>
      <c r="F81" s="3">
        <f>SUMPRODUCT($B$31:$B$53*($A$31:$A$53&gt;=$B$8+E81)*($A$31:$A$53&lt;$B$8+E81+$B$7))</f>
        <v/>
      </c>
      <c r="G81" s="4">
        <f>(D81-C81*$B$5)*$B$15*F81-B81*$B$27</f>
        <v/>
      </c>
      <c r="H81" s="4">
        <f>(D81-C81*$C$5)*$B$15*F81-B81*$B$27</f>
        <v/>
      </c>
      <c r="I81" s="4" t="n">
        <v>-197.4013548710084</v>
      </c>
      <c r="J81" s="4">
        <f>G81-I81</f>
        <v/>
      </c>
    </row>
    <row r="82">
      <c r="A82" t="inlineStr">
        <is>
          <t>one-year delay in opening</t>
        </is>
      </c>
      <c r="B82" t="n">
        <v>1</v>
      </c>
      <c r="C82" t="n">
        <v>1</v>
      </c>
      <c r="D82" t="n">
        <v>1</v>
      </c>
      <c r="E82" t="n">
        <v>1</v>
      </c>
      <c r="F82" s="3">
        <f>SUMPRODUCT($B$31:$B$53*($A$31:$A$53&gt;=$B$8+E82)*($A$31:$A$53&lt;$B$8+E82+$B$7))</f>
        <v/>
      </c>
      <c r="G82" s="4">
        <f>(D82-C82*$B$5)*$B$15*F82-B82*$B$27</f>
        <v/>
      </c>
      <c r="H82" s="4">
        <f>(D82-C82*$C$5)*$B$15*F82-B82*$B$27</f>
        <v/>
      </c>
      <c r="I82" s="4" t="n">
        <v>-281.5299821678259</v>
      </c>
      <c r="J82" s="4">
        <f>G82-I82</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 so they update with the inputs)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2026-10-20T16:58:35Z</dcterms:created>
  <dcterms:modified xmlns:dcterms="http://purl.org/dc/terms/" xmlns:xsi="http://www.w3.org/2001/XMLSchema-instance" xsi:type="dcterms:W3CDTF">2026-10-20T16:58:35Z</dcterms:modified>
</cp:coreProperties>
</file>