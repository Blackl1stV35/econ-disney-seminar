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Appraisal" sheetId="2" state="visible" r:id="rId2"/>
    <sheet xmlns:r="http://schemas.openxmlformats.org/officeDocument/2006/relationships" name="Charts" sheetId="3" state="visible" r:id="rId3"/>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3">
    <font>
      <name val="Calibri"/>
      <family val="2"/>
      <color theme="1"/>
      <sz val="11"/>
      <scheme val="minor"/>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164" fontId="0" fillId="0" borderId="0" pivotButton="0" quotePrefix="0" xfId="0"/>
    <xf numFmtId="4" fontId="0" fillId="0" borderId="0" pivotButton="0" quotePrefix="0" xfId="0"/>
    <xf numFmtId="10" fontId="0" fillId="0" borderId="0" pivotButton="0" quotePrefix="0" xfId="0"/>
    <xf numFmtId="0" fontId="2" fillId="0" borderId="0" applyAlignment="1" pivotButton="0" quotePrefix="0" xfId="0">
      <alignment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Operator cash flow by year, THB bn</a:t>
            </a:r>
          </a:p>
        </rich>
      </tx>
    </title>
    <plotArea>
      <barChart>
        <barDir val="col"/>
        <grouping val="clustered"/>
        <ser>
          <idx val="0"/>
          <order val="0"/>
          <tx>
            <strRef>
              <f>'Appraisal'!I30</f>
            </strRef>
          </tx>
          <spPr>
            <a:ln xmlns:a="http://schemas.openxmlformats.org/drawingml/2006/main">
              <a:prstDash val="solid"/>
            </a:ln>
          </spPr>
          <cat>
            <numRef>
              <f>'Appraisal'!$A$31:$A$53</f>
            </numRef>
          </cat>
          <val>
            <numRef>
              <f>'Appraisal'!$I$31:$I$53</f>
            </numRef>
          </val>
        </ser>
        <ser>
          <idx val="1"/>
          <order val="1"/>
          <tx>
            <strRef>
              <f>'Appraisal'!M30</f>
            </strRef>
          </tx>
          <spPr>
            <a:ln xmlns:a="http://schemas.openxmlformats.org/drawingml/2006/main">
              <a:prstDash val="solid"/>
            </a:ln>
          </spPr>
          <cat>
            <numRef>
              <f>'Appraisal'!$A$31:$A$53</f>
            </numRef>
          </cat>
          <val>
            <numRef>
              <f>'Appraisal'!$M$31:$M$53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Year 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THB bn</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operator cash flow, THB bn</a:t>
            </a:r>
          </a:p>
        </rich>
      </tx>
    </title>
    <plotArea>
      <lineChart>
        <grouping val="standard"/>
        <ser>
          <idx val="0"/>
          <order val="0"/>
          <tx>
            <strRef>
              <f>'Appraisal'!K30</f>
            </strRef>
          </tx>
          <spPr>
            <a:ln xmlns:a="http://schemas.openxmlformats.org/drawingml/2006/main">
              <a:prstDash val="solid"/>
            </a:ln>
          </spPr>
          <marker>
            <symbol val="none"/>
            <spPr>
              <a:ln xmlns:a="http://schemas.openxmlformats.org/drawingml/2006/main">
                <a:prstDash val="solid"/>
              </a:ln>
            </spPr>
          </marker>
          <cat>
            <numRef>
              <f>'Appraisal'!$A$31:$A$53</f>
            </numRef>
          </cat>
          <val>
            <numRef>
              <f>'Appraisal'!$K$31:$K$53</f>
            </numRef>
          </val>
        </ser>
        <ser>
          <idx val="1"/>
          <order val="1"/>
          <tx>
            <strRef>
              <f>'Appraisal'!O30</f>
            </strRef>
          </tx>
          <spPr>
            <a:ln xmlns:a="http://schemas.openxmlformats.org/drawingml/2006/main">
              <a:prstDash val="solid"/>
            </a:ln>
          </spPr>
          <marker>
            <symbol val="none"/>
            <spPr>
              <a:ln xmlns:a="http://schemas.openxmlformats.org/drawingml/2006/main">
                <a:prstDash val="solid"/>
              </a:ln>
            </spPr>
          </marker>
          <cat>
            <numRef>
              <f>'Appraisal'!$A$31:$A$53</f>
            </numRef>
          </cat>
          <val>
            <numRef>
              <f>'Appraisal'!$O$31:$O$53</f>
            </numRef>
          </val>
        </ser>
        <axId val="10"/>
        <axId val="100"/>
      </lineChart>
      <catAx>
        <axId val="10"/>
        <scaling>
          <orientation val="minMax"/>
        </scaling>
        <axPos val="l"/>
        <title>
          <tx>
            <rich>
              <a:bodyPr xmlns:a="http://schemas.openxmlformats.org/drawingml/2006/main"/>
              <a:p xmlns:a="http://schemas.openxmlformats.org/drawingml/2006/main">
                <a:pPr>
                  <a:defRPr/>
                </a:pPr>
                <a:r>
                  <a:t>Year 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THB bn</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Operator NPV by sensitivity case, THB bn (confirmed and cash-cost proxy)</a:t>
            </a:r>
          </a:p>
        </rich>
      </tx>
    </title>
    <plotArea>
      <barChart>
        <barDir val="bar"/>
        <grouping val="clustered"/>
        <ser>
          <idx val="0"/>
          <order val="0"/>
          <tx>
            <strRef>
              <f>'Appraisal'!G56</f>
            </strRef>
          </tx>
          <spPr>
            <a:ln xmlns:a="http://schemas.openxmlformats.org/drawingml/2006/main">
              <a:prstDash val="solid"/>
            </a:ln>
          </spPr>
          <cat>
            <numRef>
              <f>'Appraisal'!$A$57:$A$82</f>
            </numRef>
          </cat>
          <val>
            <numRef>
              <f>'Appraisal'!$G$57:$G$82</f>
            </numRef>
          </val>
        </ser>
        <ser>
          <idx val="1"/>
          <order val="1"/>
          <tx>
            <strRef>
              <f>'Appraisal'!H56</f>
            </strRef>
          </tx>
          <spPr>
            <a:ln xmlns:a="http://schemas.openxmlformats.org/drawingml/2006/main">
              <a:prstDash val="solid"/>
            </a:ln>
          </spPr>
          <cat>
            <numRef>
              <f>'Appraisal'!$A$57:$A$82</f>
            </numRef>
          </cat>
          <val>
            <numRef>
              <f>'Appraisal'!$H$57:$H$82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Case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THB bn</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2</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24</row>
      <rowOff>0</rowOff>
    </from>
    <ext cx="792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46</row>
      <rowOff>0</rowOff>
    </from>
    <ext cx="9360000" cy="64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6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46" customWidth="1" min="2" max="2"/>
    <col width="16" customWidth="1" min="3" max="3"/>
    <col width="16" customWidth="1" min="4" max="4"/>
    <col width="16" customWidth="1" min="5" max="5"/>
    <col width="22" customWidth="1" min="6" max="6"/>
    <col width="48" customWidth="1" min="7" max="7"/>
    <col width="80" customWidth="1" min="8" max="8"/>
  </cols>
  <sheetData>
    <row r="1">
      <c r="A1" s="1" t="inlineStr">
        <is>
          <t>Input assumptions: every row of inputs.csv and assumptions.csv (base case values)</t>
        </is>
      </c>
    </row>
    <row r="2">
      <c r="A2" t="inlineStr">
        <is>
          <t>Values are copied from disney-tourism-thailand/data/appraisal. Column C is the base case used by the appraisal. Status and source are copied from the source file.</t>
        </is>
      </c>
    </row>
    <row r="3">
      <c r="A3" s="2" t="inlineStr">
        <is>
          <t>File</t>
        </is>
      </c>
      <c r="B3" s="2" t="inlineStr">
        <is>
          <t>Parameter</t>
        </is>
      </c>
      <c r="C3" s="2" t="inlineStr">
        <is>
          <t>Value (base case)</t>
        </is>
      </c>
      <c r="D3" s="2" t="inlineStr">
        <is>
          <t>Low case</t>
        </is>
      </c>
      <c r="E3" s="2" t="inlineStr">
        <is>
          <t>High case</t>
        </is>
      </c>
      <c r="F3" s="2" t="inlineStr">
        <is>
          <t>Unit</t>
        </is>
      </c>
      <c r="G3" s="2" t="inlineStr">
        <is>
          <t>Status</t>
        </is>
      </c>
      <c r="H3" s="2" t="inlineStr">
        <is>
          <t>Source or basis</t>
        </is>
      </c>
    </row>
    <row r="4">
      <c r="A4" t="inlineStr">
        <is>
          <t>inputs.csv</t>
        </is>
      </c>
      <c r="B4" t="inlineStr">
        <is>
          <t>capex_complex_thb_bn</t>
        </is>
      </c>
      <c r="C4" t="n">
        <v>300</v>
      </c>
      <c r="F4" t="inlineStr">
        <is>
          <t>THB bn</t>
        </is>
      </c>
      <c r="G4" t="inlineStr">
        <is>
          <t>from proposal (not verified; reported in news on 12 February 2026 and repeated later; no official statement read)</t>
        </is>
      </c>
      <c r="H4" t="inlineStr">
        <is>
          <t>data/processed/thailand_proposal.json scenario complex_total</t>
        </is>
      </c>
    </row>
    <row r="5">
      <c r="A5" t="inlineStr">
        <is>
          <t>inputs.csv</t>
        </is>
      </c>
      <c r="B5" t="inlineStr">
        <is>
          <t>capex_park_high_thb_bn</t>
        </is>
      </c>
      <c r="C5" t="n">
        <v>200</v>
      </c>
      <c r="F5" t="inlineStr">
        <is>
          <t>THB bn</t>
        </is>
      </c>
      <c r="G5" t="inlineStr">
        <is>
          <t>from proposal (not verified; reported in news on 12 and 15 May 2026; no official statement read)</t>
        </is>
      </c>
      <c r="H5" t="inlineStr">
        <is>
          <t>data/processed/thailand_proposal.json scenario park_high</t>
        </is>
      </c>
    </row>
    <row r="6">
      <c r="A6" t="inlineStr">
        <is>
          <t>inputs.csv</t>
        </is>
      </c>
      <c r="B6" t="inlineStr">
        <is>
          <t>capex_park_low_thb_bn</t>
        </is>
      </c>
      <c r="C6" t="n">
        <v>100</v>
      </c>
      <c r="F6" t="inlineStr">
        <is>
          <t>THB bn</t>
        </is>
      </c>
      <c r="G6" t="inlineStr">
        <is>
          <t>from proposal (not verified; lower bound of a range reported on 27 March 2026; no official statement read)</t>
        </is>
      </c>
      <c r="H6" t="inlineStr">
        <is>
          <t>data/processed/thailand_proposal.json scenario park_low</t>
        </is>
      </c>
    </row>
    <row r="7">
      <c r="A7" t="inlineStr">
        <is>
          <t>inputs.csv</t>
        </is>
      </c>
      <c r="B7" t="inlineStr">
        <is>
          <t>claim_additional_visitors_million_per_year</t>
        </is>
      </c>
      <c r="C7" t="n">
        <v>10</v>
      </c>
      <c r="F7" t="inlineStr">
        <is>
          <t>million visits per year</t>
        </is>
      </c>
      <c r="G7" t="inlineStr">
        <is>
          <t>claim (reference only; reported in news on 3 February 2026 as a conditional annual figure with no base year)</t>
        </is>
      </c>
      <c r="H7" t="inlineStr">
        <is>
          <t>data/processed/thailand_proposal.json ministerial_claims</t>
        </is>
      </c>
    </row>
    <row r="8">
      <c r="A8" t="inlineStr">
        <is>
          <t>inputs.csv</t>
        </is>
      </c>
      <c r="B8" t="inlineStr">
        <is>
          <t>claim_revenue_thb_bn</t>
        </is>
      </c>
      <c r="C8" t="n">
        <v>150</v>
      </c>
      <c r="F8" t="inlineStr">
        <is>
          <t>THB bn</t>
        </is>
      </c>
      <c r="G8" t="inlineStr">
        <is>
          <t>claim (reference only; reported in news on 3 February 2026 as more than THB 150 billion, conditional, with no period)</t>
        </is>
      </c>
      <c r="H8" t="inlineStr">
        <is>
          <t>data/processed/thailand_proposal.json ministerial_claims</t>
        </is>
      </c>
    </row>
    <row r="9">
      <c r="A9" t="inlineStr">
        <is>
          <t>inputs.csv</t>
        </is>
      </c>
      <c r="B9" t="inlineStr">
        <is>
          <t>claim_share_of_gdp_percent_per_year</t>
        </is>
      </c>
      <c r="C9" t="n">
        <v>1</v>
      </c>
      <c r="F9" t="inlineStr">
        <is>
          <t>percent per year of GDP growth</t>
        </is>
      </c>
      <c r="G9" t="inlineStr">
        <is>
          <t>claim (reference only; reported on 3 February 2026 as an effect of 1 percent a year on the GDP growth rate, not a share of GDP)</t>
        </is>
      </c>
      <c r="H9" t="inlineStr">
        <is>
          <t>data/processed/thailand_proposal.json ministerial_claims</t>
        </is>
      </c>
    </row>
    <row r="10">
      <c r="A10" t="inlineStr">
        <is>
          <t>inputs.csv</t>
        </is>
      </c>
      <c r="B10" t="inlineStr">
        <is>
          <t>discount_rate_eirr_standard</t>
        </is>
      </c>
      <c r="C10" t="n">
        <v>0.09</v>
      </c>
      <c r="F10" t="inlineStr">
        <is>
          <t>rate</t>
        </is>
      </c>
      <c r="G10" t="inlineStr">
        <is>
          <t>sourced (ADB 2017; cross-check only)</t>
        </is>
      </c>
      <c r="H10" t="inlineStr">
        <is>
          <t>ADB (2017) Guidelines for the Economic Analysis of Projects, paragraph 194 (printed page 53); DOI http://dx.doi.org/10.22617/TIM178607-2; URL https://www.adb.org/sites/default/files/institutional-document/32256/economic-analysis-projects.pdf</t>
        </is>
      </c>
    </row>
    <row r="11">
      <c r="A11" t="inlineStr">
        <is>
          <t>inputs.csv</t>
        </is>
      </c>
      <c r="B11" t="inlineStr">
        <is>
          <t>discount_rate_eirr_social_sector</t>
        </is>
      </c>
      <c r="C11" t="n">
        <v>0.06</v>
      </c>
      <c r="F11" t="inlineStr">
        <is>
          <t>rate</t>
        </is>
      </c>
      <c r="G11" t="inlineStr">
        <is>
          <t>sourced (ADB 2017; social sector and environmental projects)</t>
        </is>
      </c>
      <c r="H11" t="inlineStr">
        <is>
          <t>ADB (2017) Guidelines for the Economic Analysis of Projects, paragraph 194 (printed page 53); DOI http://dx.doi.org/10.22617/TIM178607-2; URL https://www.adb.org/sites/default/files/institutional-document/32256/economic-analysis-projects.pdf</t>
        </is>
      </c>
    </row>
    <row r="12">
      <c r="A12" t="inlineStr">
        <is>
          <t>inputs.csv</t>
        </is>
      </c>
      <c r="B12" t="inlineStr">
        <is>
          <t>discount_rate_social_nesdc</t>
        </is>
      </c>
      <c r="C12" t="n">
        <v>0.07000000000000001</v>
      </c>
      <c r="F12" t="inlineStr">
        <is>
          <t>rate</t>
        </is>
      </c>
      <c r="G12" t="inlineStr">
        <is>
          <t>sourced (NESDC 2024; projects carried out from 2025 onward)</t>
        </is>
      </c>
      <c r="H12" t="inlineStr">
        <is>
          <t>NESDC (2024) Guide to Public Investment Project Appraisal, section 6.2.2 (PDF page 28); range in section 6.2.1 (PDF page 26); URL https://www.nesdc.go.th/wp-content/uploads/2025/05/article_20241009124821.pdf</t>
        </is>
      </c>
    </row>
    <row r="13">
      <c r="A13" t="inlineStr">
        <is>
          <t>inputs.csv</t>
        </is>
      </c>
      <c r="B13" t="inlineStr">
        <is>
          <t>discount_rate_social_nesdc_pre2025</t>
        </is>
      </c>
      <c r="C13" t="n">
        <v>0.12</v>
      </c>
      <c r="F13" t="inlineStr">
        <is>
          <t>rate</t>
        </is>
      </c>
      <c r="G13" t="inlineStr">
        <is>
          <t>reference only (applies to projects carried out before 2025)</t>
        </is>
      </c>
      <c r="H13" t="inlineStr">
        <is>
          <t>NESDC (2024) Guide to Public Investment Project Appraisal, section 6.2.2 (PDF page 28); URL https://www.nesdc.go.th/wp-content/uploads/2025/05/article_20241009124821.pdf</t>
        </is>
      </c>
    </row>
    <row r="14">
      <c r="A14" t="inlineStr">
        <is>
          <t>inputs.csv</t>
        </is>
      </c>
      <c r="B14" t="inlineStr">
        <is>
          <t>conversion_factor_standard</t>
        </is>
      </c>
      <c r="C14" t="n">
        <v>0.7</v>
      </c>
      <c r="F14" t="inlineStr">
        <is>
          <t>ratio</t>
        </is>
      </c>
      <c r="G14" t="inlineStr">
        <is>
          <t>sourced (NESDC 2024)</t>
        </is>
      </c>
      <c r="H14" t="inlineStr">
        <is>
          <t>NESDC (2024) Guide to Public Investment Project Appraisal, summary of changes (PDF page 5); used when shadow prices cannot be computed; URL https://www.nesdc.go.th/wp-content/uploads/2025/05/article_20241009124821.pdf</t>
        </is>
      </c>
    </row>
    <row r="15">
      <c r="A15" t="inlineStr">
        <is>
          <t>inputs.csv</t>
        </is>
      </c>
      <c r="B15" t="inlineStr">
        <is>
          <t>project_life_years</t>
        </is>
      </c>
      <c r="C15" t="n">
        <v>20</v>
      </c>
      <c r="F15" t="inlineStr">
        <is>
          <t>years</t>
        </is>
      </c>
      <c r="G15" t="inlineStr">
        <is>
          <t>team decision (confirmed by the leader on 14 October 2026): labelled assumption; not sourced; base 20 years</t>
        </is>
      </c>
      <c r="H15" t="inlineStr">
        <is>
          <t>assumptions.csv project_life_years (team recommendation; Revenue Department building depreciation of 5 percent a year; ADB ranges)</t>
        </is>
      </c>
    </row>
    <row r="16">
      <c r="A16" t="inlineStr">
        <is>
          <t>inputs.csv</t>
        </is>
      </c>
      <c r="B16" t="inlineStr">
        <is>
          <t>wacc_financial</t>
        </is>
      </c>
      <c r="C16" t="n">
        <v>0.08</v>
      </c>
      <c r="F16" t="inlineStr">
        <is>
          <t>rate</t>
        </is>
      </c>
      <c r="G16" t="inlineStr">
        <is>
          <t>team decision (confirmed by the leader on 14 October 2026): labelled assumption; not sourced; base 8 percent</t>
        </is>
      </c>
      <c r="H16" t="inlineStr">
        <is>
          <t>assumptions.csv wacc_financial (team recommendation; NESDC social rate plus one point)</t>
        </is>
      </c>
    </row>
    <row r="17">
      <c r="A17" t="inlineStr">
        <is>
          <t>inputs.csv</t>
        </is>
      </c>
      <c r="B17" t="inlineStr">
        <is>
          <t>attendance_million_per_year</t>
        </is>
      </c>
      <c r="C17" t="n">
        <v>7.5</v>
      </c>
      <c r="F17" t="inlineStr">
        <is>
          <t>million visits per year</t>
        </is>
      </c>
      <c r="G17" t="inlineStr">
        <is>
          <t>team decision (confirmed by the leader on 14 October 2026): labelled assumption; not sourced; base 7.5 million from Hong Kong Disneyland FY2025</t>
        </is>
      </c>
      <c r="H17" t="inlineStr">
        <is>
          <t>assumptions.csv attendance_million_per_year (team decision)</t>
        </is>
      </c>
    </row>
    <row r="18">
      <c r="A18" t="inlineStr">
        <is>
          <t>inputs.csv</t>
        </is>
      </c>
      <c r="B18" t="inlineStr">
        <is>
          <t>incremental_share</t>
        </is>
      </c>
      <c r="C18" t="n">
        <v>0.3</v>
      </c>
      <c r="F18" t="inlineStr">
        <is>
          <t>share</t>
        </is>
      </c>
      <c r="G18" t="inlineStr">
        <is>
          <t>team decision (confirmed by the leader on 14 October 2026): labelled assumption; not sourced; base 30 percent</t>
        </is>
      </c>
      <c r="H18" t="inlineStr">
        <is>
          <t>assumptions.csv incremental_share (team decision; no source)</t>
        </is>
      </c>
    </row>
    <row r="19">
      <c r="A19" t="inlineStr">
        <is>
          <t>inputs.csv</t>
        </is>
      </c>
      <c r="B19" t="inlineStr">
        <is>
          <t>displacement_share</t>
        </is>
      </c>
      <c r="C19" t="n">
        <v>0.3</v>
      </c>
      <c r="F19" t="inlineStr">
        <is>
          <t>share</t>
        </is>
      </c>
      <c r="G19" t="inlineStr">
        <is>
          <t>team decision (confirmed by the leader on 14 October 2026): labelled assumption; not sourced; base 30 percent</t>
        </is>
      </c>
      <c r="H19" t="inlineStr">
        <is>
          <t>assumptions.csv displacement_share (team decision; no source)</t>
        </is>
      </c>
    </row>
    <row r="20">
      <c r="A20" t="inlineStr">
        <is>
          <t>inputs.csv</t>
        </is>
      </c>
      <c r="B20" t="inlineStr">
        <is>
          <t>spend_per_visit_thb</t>
        </is>
      </c>
      <c r="C20" t="n">
        <v>10000</v>
      </c>
      <c r="F20" t="inlineStr">
        <is>
          <t>THB per incremental visit</t>
        </is>
      </c>
      <c r="G20" t="inlineStr">
        <is>
          <t>team decision (confirmed by the leader on 14 October 2026): labelled assumption; not sourced; base placeholder of 10,000 THB; per-trip figures are not per visit</t>
        </is>
      </c>
      <c r="H20" t="inlineStr">
        <is>
          <t>assumptions.csv spend_per_visit_thb (team decision)</t>
        </is>
      </c>
    </row>
    <row r="21">
      <c r="A21" t="inlineStr">
        <is>
          <t>inputs.csv</t>
        </is>
      </c>
      <c r="B21" t="inlineStr">
        <is>
          <t>domestic_retention_share</t>
        </is>
      </c>
      <c r="C21" t="n">
        <v>0.5</v>
      </c>
      <c r="F21" t="inlineStr">
        <is>
          <t>share</t>
        </is>
      </c>
      <c r="G21" t="inlineStr">
        <is>
          <t>team decision (confirmed by the leader on 14 October 2026): labelled assumption; not sourced; base 50 percent</t>
        </is>
      </c>
      <c r="H21" t="inlineStr">
        <is>
          <t>assumptions.csv domestic_retention_share (team decision; no source)</t>
        </is>
      </c>
    </row>
    <row r="22">
      <c r="A22" t="inlineStr">
        <is>
          <t>inputs.csv</t>
        </is>
      </c>
      <c r="B22" t="inlineStr">
        <is>
          <t>tax_share_of_spend</t>
        </is>
      </c>
      <c r="C22" t="n">
        <v>0.06542100000000001</v>
      </c>
      <c r="F22" t="inlineStr">
        <is>
          <t>share of net spending</t>
        </is>
      </c>
      <c r="G22" t="inlineStr">
        <is>
          <t>team decision (confirmed by the leader on 14 October 2026): labelled assumption; not sourced; base 7 divided by 107 at the reduced VAT rate</t>
        </is>
      </c>
      <c r="H22" t="inlineStr">
        <is>
          <t>assumptions.csv tax_share_of_spend; input rows vat_reduced_rate_2026_2027 and vat_statutory_rate</t>
        </is>
      </c>
    </row>
    <row r="23">
      <c r="A23" t="inlineStr">
        <is>
          <t>inputs.csv</t>
        </is>
      </c>
      <c r="B23" t="inlineStr">
        <is>
          <t>opex_thb_bn_per_year</t>
        </is>
      </c>
      <c r="C23" t="n">
        <v>13.3</v>
      </c>
      <c r="F23" t="inlineStr">
        <is>
          <t>THB bn per year</t>
        </is>
      </c>
      <c r="G23" t="inlineStr">
        <is>
          <t>derived (base case model output): 0.9383 times base operating revenue of 14.17 THB bn; the model uses opex_share, not this value</t>
        </is>
      </c>
      <c r="H23" t="inlineStr">
        <is>
          <t>assumptions.csv opex_share; model output</t>
        </is>
      </c>
    </row>
    <row r="24">
      <c r="A24" t="inlineStr">
        <is>
          <t>inputs.csv</t>
        </is>
      </c>
      <c r="B24" t="inlineStr">
        <is>
          <t>exchange_rate_thb_per_usd</t>
        </is>
      </c>
      <c r="C24" t="n">
        <v>33.521</v>
      </c>
      <c r="F24" t="inlineStr">
        <is>
          <t>THB per USD</t>
        </is>
      </c>
      <c r="G24" t="inlineStr">
        <is>
          <t>sourced (Bank of Thailand reference rate for the US dollar, 12 October 2026; a single day, not an annual average)</t>
        </is>
      </c>
      <c r="H24" t="inlineStr">
        <is>
          <t>https://app.bot.or.th/BTWS_STAT/statistics/BOTWEBSTAT.aspx?reportID=123&amp;language=ENG (Bank of Thailand reference rate, US dollar)</t>
        </is>
      </c>
    </row>
    <row r="25">
      <c r="A25" t="inlineStr">
        <is>
          <t>inputs.csv</t>
        </is>
      </c>
      <c r="B25" t="inlineStr">
        <is>
          <t>utapao_passengers_calendar_2024</t>
        </is>
      </c>
      <c r="C25" t="n">
        <v>384881</v>
      </c>
      <c r="F25" t="inlineStr">
        <is>
          <t>passengers</t>
        </is>
      </c>
      <c r="G25" t="inlineStr">
        <is>
          <t>derived (sum of 24 published monthly records; year from dataset metadata, 2567 Buddhist era; the printed total is not on the page)</t>
        </is>
      </c>
      <c r="H25" t="inlineStr">
        <is>
          <t>https://datagov.mot.go.th/en/api/3/action/datastore_search?resource_id=3854cc5d-5e79-4450-a29f-2183242fc92c, Airport U-Tapao, Detail passenger, types DOM 141,592 and INT 243,289 summed over 24 monthly records</t>
        </is>
      </c>
    </row>
    <row r="26">
      <c r="A26" t="inlineStr">
        <is>
          <t>inputs.csv</t>
        </is>
      </c>
      <c r="B26" t="inlineStr">
        <is>
          <t>utapao_passengers_oct2023_sep2024</t>
        </is>
      </c>
      <c r="C26" t="n">
        <v>370210</v>
      </c>
      <c r="F26" t="inlineStr">
        <is>
          <t>passengers</t>
        </is>
      </c>
      <c r="G26" t="inlineStr">
        <is>
          <t>sourced (U-Tapao International Aviation operator chart, budget year 2024 = 1 October 2023 to 30 September 2024; single source, chart image read; the Wikipedia figure is not used because it cites 2006 DAFIF data)</t>
        </is>
      </c>
      <c r="H26" t="inlineStr">
        <is>
          <t>https://www.uta.co.th/airport-airportcity/airport-terminal (AIR TRAFFIC STATISTICS chart, bar labelled 2024; chart header as of August 2026)</t>
        </is>
      </c>
    </row>
    <row r="27">
      <c r="A27" t="inlineStr">
        <is>
          <t>inputs.csv</t>
        </is>
      </c>
      <c r="B27" t="inlineStr">
        <is>
          <t>utapao_passengers_2019</t>
        </is>
      </c>
      <c r="C27" t="n">
        <v>1665004</v>
      </c>
      <c r="F27" t="inlineStr">
        <is>
          <t>passengers</t>
        </is>
      </c>
      <c r="G27" t="inlineStr">
        <is>
          <t>proxy (budget year, not calendar 2019): operator chart for 1 October 2018 to 30 September 2019; calendar 2019 not found</t>
        </is>
      </c>
      <c r="H27" t="inlineStr">
        <is>
          <t>https://www.uta.co.th/airport-airportcity/airport-terminal (budget-year chart)</t>
        </is>
      </c>
    </row>
    <row r="28">
      <c r="A28" t="inlineStr">
        <is>
          <t>inputs.csv</t>
        </is>
      </c>
      <c r="B28" t="inlineStr">
        <is>
          <t>utapao_terminal_capacity_passengers_per_year</t>
        </is>
      </c>
      <c r="C28" t="n">
        <v>3700000</v>
      </c>
      <c r="F28" t="inlineStr">
        <is>
          <t>passengers per year</t>
        </is>
      </c>
      <c r="G28" t="inlineStr">
        <is>
          <t>sourced (EEC Office, Terminals 1 and 2 capacity)</t>
        </is>
      </c>
      <c r="H28" t="inlineStr">
        <is>
          <t>U-Tapao Airport and Eastern Aviation City, EEC Office. https://www.eeco.or.th/en/u-tapao-airport-and-eastern-aviation-city/. Phase status section, Annual Passenger Capacity. Page status October 2025. Capacity, not traffic. Passenger movements, not visits: convert with visits_from_passengers before use in infrastructure_headroom.</t>
        </is>
      </c>
    </row>
    <row r="29">
      <c r="A29" t="inlineStr">
        <is>
          <t>inputs.csv</t>
        </is>
      </c>
      <c r="B29" t="inlineStr">
        <is>
          <t>utapao_project_max_capacity_passengers_per_year</t>
        </is>
      </c>
      <c r="C29" t="n">
        <v>60000000</v>
      </c>
      <c r="F29" t="inlineStr">
        <is>
          <t>passengers per year</t>
        </is>
      </c>
      <c r="G29" t="inlineStr">
        <is>
          <t>sourced (EEC Office, project target)</t>
        </is>
      </c>
      <c r="H29" t="inlineStr">
        <is>
          <t>U-Tapao Airport and Eastern Aviation City, EEC Office. https://www.eeco.or.th/en/u-tapao-airport-and-eastern-aviation-city/. Annual Passenger Capacity section. Project target, undated on the page.</t>
        </is>
      </c>
    </row>
    <row r="30">
      <c r="A30" t="inlineStr">
        <is>
          <t>inputs.csv</t>
        </is>
      </c>
      <c r="B30" t="inlineStr">
        <is>
          <t>suvarnabhumi_passengers_2019</t>
        </is>
      </c>
      <c r="C30" t="n">
        <v>65425879</v>
      </c>
      <c r="F30" t="inlineStr">
        <is>
          <t>passengers</t>
        </is>
      </c>
      <c r="G30" t="inlineStr">
        <is>
          <t>sourced (AOT Summary Report 2025, Suvarnabhumi yearly series, grand total including transit; the printed column label reads 2020 in the extracted text, and the row is read as calendar 2019 from the aircraft movement count and the report chart showing 65.4 million for 2019)</t>
        </is>
      </c>
      <c r="H30" t="inlineStr">
        <is>
          <t>https://www.airportthai.co.th/wp-content/uploads/2026/06/ANNUAL-REPORT-2025.pdf (AOT Summary Report 2025, BKK section, yearly series)</t>
        </is>
      </c>
    </row>
    <row r="31">
      <c r="A31" t="inlineStr">
        <is>
          <t>inputs.csv</t>
        </is>
      </c>
      <c r="B31" t="inlineStr">
        <is>
          <t>suvarnabhumi_passengers_calendar_2024</t>
        </is>
      </c>
      <c r="C31" t="n">
        <v>62234693</v>
      </c>
      <c r="F31" t="inlineStr">
        <is>
          <t>passengers</t>
        </is>
      </c>
      <c r="G31" t="inlineStr">
        <is>
          <t>sourced (AOT Air Traffic Calendar Year 2024, Suvarnabhumi passenger movements, grand total including transit; the same table gives six-airport total 124,033,786)</t>
        </is>
      </c>
      <c r="H31" t="inlineStr">
        <is>
          <t>https://investor.airportthai.co.th/misc/statistic/2025/20250117-aot-traffic-fiscal-2024-12m.pdf (AOT Air Traffic Calendar Year 2024, Jan to Dec 2024; the file name says fiscal 2024 but the table title says calendar 2024)</t>
        </is>
      </c>
    </row>
    <row r="32">
      <c r="A32" t="inlineStr">
        <is>
          <t>inputs.csv</t>
        </is>
      </c>
      <c r="B32" t="inlineStr">
        <is>
          <t>don_mueang_passengers_calendar_2024</t>
        </is>
      </c>
      <c r="C32" t="n">
        <v>30490635</v>
      </c>
      <c r="F32" t="inlineStr">
        <is>
          <t>passengers</t>
        </is>
      </c>
      <c r="G32" t="inlineStr">
        <is>
          <t>sourced (AOT Air Traffic Calendar Year 2024, Don Mueang passenger movements; includes 11,441 transit passengers, or 30,479,194 without transit)</t>
        </is>
      </c>
      <c r="H32" t="inlineStr">
        <is>
          <t>https://investor.airportthai.co.th/misc/statistic/2025/20250117-aot-traffic-fiscal-2024-12m.pdf (AOT Air Traffic Calendar Year 2024, Jan to Dec 2024)</t>
        </is>
      </c>
    </row>
    <row r="33">
      <c r="A33" t="inlineStr">
        <is>
          <t>inputs.csv</t>
        </is>
      </c>
      <c r="B33" t="inlineStr">
        <is>
          <t>don_mueang_passengers_2019</t>
        </is>
      </c>
      <c r="C33" t="n">
        <v>41313439</v>
      </c>
      <c r="F33" t="inlineStr">
        <is>
          <t>passengers</t>
        </is>
      </c>
      <c r="G33" t="inlineStr">
        <is>
          <t>sourced (AOT Summary Report 2025, Don Mueang yearly series, grand total including transit; the printed column label reads 2020 in the extracted text, and the row is read as calendar 2019 from the aircraft movement count and the report chart showing 41.3 million for 2019)</t>
        </is>
      </c>
      <c r="H33" t="inlineStr">
        <is>
          <t>https://www.airportthai.co.th/wp-content/uploads/2026/06/ANNUAL-REPORT-2025.pdf (AOT Summary Report 2025, DMK section, yearly series)</t>
        </is>
      </c>
    </row>
    <row r="34">
      <c r="A34" t="inlineStr">
        <is>
          <t>inputs.csv</t>
        </is>
      </c>
      <c r="B34" t="inlineStr">
        <is>
          <t>don_mueang_design_capacity_passengers_per_year</t>
        </is>
      </c>
      <c r="C34" t="n">
        <v>30000000</v>
      </c>
      <c r="F34" t="inlineStr">
        <is>
          <t>passengers per year</t>
        </is>
      </c>
      <c r="G34" t="inlineStr">
        <is>
          <t>sourced (Don Mueang airport page: the airport is increasing its capacity to accommodate 30 million passengers per year; undated; the 50 million figure in a news relay is a different claim and is not used)</t>
        </is>
      </c>
      <c r="H34" t="inlineStr">
        <is>
          <t>https://donmueang.airportthai.co.th/about-us (History section)</t>
        </is>
      </c>
    </row>
    <row r="35">
      <c r="A35" t="inlineStr">
        <is>
          <t>inputs.csv</t>
        </is>
      </c>
      <c r="B35" t="inlineStr">
        <is>
          <t>aot_six_airports_passengers_fy2023</t>
        </is>
      </c>
      <c r="C35" t="n">
        <v>100058695</v>
      </c>
      <c r="F35" t="inlineStr">
        <is>
          <t>passengers</t>
        </is>
      </c>
      <c r="G35" t="inlineStr">
        <is>
          <t>sourced (AOT Air Traffic Fiscal Year 2023, six airports, passenger movements: international 53,906,117 plus domestic 46,152,578; the earlier note of over 120 million for fiscal 2023 is wrong)</t>
        </is>
      </c>
      <c r="H35" t="inlineStr">
        <is>
          <t>https://investor.airportthai.co.th/misc/statistic/2023/20231017-aot-traffic-fiscal-2023-12m.pdf (AOT Air Traffic Fiscal Year 2023, 12 months October 2022 to September 2023, Passenger Movements, Total)</t>
        </is>
      </c>
    </row>
    <row r="36">
      <c r="A36" t="inlineStr">
        <is>
          <t>inputs.csv</t>
        </is>
      </c>
      <c r="B36" t="inlineStr">
        <is>
          <t>aot_six_airports_passengers_calendar_2024_2025</t>
        </is>
      </c>
      <c r="C36" t="n">
        <v>124033786</v>
      </c>
      <c r="F36" t="inlineStr">
        <is>
          <t>passengers</t>
        </is>
      </c>
      <c r="G36" t="inlineStr">
        <is>
          <t>sourced (AOT Air Traffic Calendar Year 2024, six airports, passenger movements: international 76,628,247 plus domestic 47,405,539; calendar 2025 not found)</t>
        </is>
      </c>
      <c r="H36" t="inlineStr">
        <is>
          <t>https://investor.airportthai.co.th/misc/statistic/2025/20250117-aot-traffic-fiscal-2024-12m.pdf (AOT Air Traffic Calendar Year 2024, Jan to Dec 2024, Passenger Movements, Total)</t>
        </is>
      </c>
    </row>
    <row r="37">
      <c r="A37" t="inlineStr">
        <is>
          <t>inputs.csv</t>
        </is>
      </c>
      <c r="B37" t="inlineStr">
        <is>
          <t>hotel_guesthouse_rooms_2022</t>
        </is>
      </c>
      <c r="C37" t="n">
        <v>956372</v>
      </c>
      <c r="F37" t="inlineStr">
        <is>
          <t>rooms</t>
        </is>
      </c>
      <c r="G37" t="inlineStr">
        <is>
          <t>sourced (NSO Statistical Yearbook Thailand 2024, Table 17.4: 956,372 rooms in the column headed 2022; 2022 is the survey year, and the room count's reference period is calendar 2021, not 2022)</t>
        </is>
      </c>
      <c r="H37" t="inlineStr">
        <is>
          <t>Statistical Yearbook Thailand 2024, Table 17.4 Principal Statistics on Hotels and Guest House Establishment (NSO). https://www.nso.go.th/public/e-book/Statistical-Yearbook/SYB-2024/543. Row 2022. Covers hotels and guest houses together, not all accommodation. No Chon Buri rows.</t>
        </is>
      </c>
    </row>
    <row r="38">
      <c r="A38" t="inlineStr">
        <is>
          <t>inputs.csv</t>
        </is>
      </c>
      <c r="B38" t="inlineStr">
        <is>
          <t>hotel_guesthouse_establishments_2022</t>
        </is>
      </c>
      <c r="C38" t="n">
        <v>30786</v>
      </c>
      <c r="F38" t="inlineStr">
        <is>
          <t>establishments</t>
        </is>
      </c>
      <c r="G38" t="inlineStr">
        <is>
          <t>sourced (NSO Statistical Yearbook Thailand 2024, Table 17.4: 30,786 establishments in the column headed 2022; the reference period is calendar 2021, not 2022)</t>
        </is>
      </c>
      <c r="H38" t="inlineStr">
        <is>
          <t>Statistical Yearbook Thailand 2024, Table 17.4 (NSO). https://www.nso.go.th/public/e-book/Statistical-Yearbook/SYB-2024/543. Row 2022. Establishments in the Thai row label.</t>
        </is>
      </c>
    </row>
    <row r="39">
      <c r="A39" t="inlineStr">
        <is>
          <t>inputs.csv</t>
        </is>
      </c>
      <c r="B39" t="inlineStr">
        <is>
          <t>hotel_guesthouse_rooms_2019</t>
        </is>
      </c>
      <c r="C39" t="n">
        <v>719300</v>
      </c>
      <c r="F39" t="inlineStr">
        <is>
          <t>rooms</t>
        </is>
      </c>
      <c r="G39" t="inlineStr">
        <is>
          <t>sourced (NSO Statistical Yearbook Thailand 2024: 719.3 thousand rooms in the column labelled 2019; the reference date is not stated on the page, so confirm against the table)</t>
        </is>
      </c>
      <c r="H39" t="inlineStr">
        <is>
          <t>https://www.nso.go.th/public/e-book/Statistical-Yearbook/SYB-2024/532 (NSO Statistical Yearbook Thailand 2024, hotels and guest houses, number of rooms in thousands)</t>
        </is>
      </c>
    </row>
    <row r="40">
      <c r="A40" t="inlineStr">
        <is>
          <t>inputs.csv</t>
        </is>
      </c>
      <c r="B40" t="inlineStr">
        <is>
          <t>chonburi_accommodation_rooms_2024_or_2025</t>
        </is>
      </c>
      <c r="C40" t="n">
        <v>31581</v>
      </c>
      <c r="F40" t="inlineStr">
        <is>
          <t>rooms</t>
        </is>
      </c>
      <c r="G40" t="inlineStr">
        <is>
          <t>proxy (not Chon Buri): Pattaya hotel keys H2 2024 (CBRE); the room stock used in the model</t>
        </is>
      </c>
      <c r="H40" t="inlineStr">
        <is>
          <t>pattaya_hotel_keys_h2_2024 (CBRE broker data)</t>
        </is>
      </c>
    </row>
    <row r="41">
      <c r="A41" t="inlineStr">
        <is>
          <t>inputs.csv</t>
        </is>
      </c>
      <c r="B41" t="inlineStr">
        <is>
          <t>pattaya_hotel_keys_h2_2024</t>
        </is>
      </c>
      <c r="C41" t="n">
        <v>31581</v>
      </c>
      <c r="F41" t="inlineStr">
        <is>
          <t>hotel keys (rooms)</t>
        </is>
      </c>
      <c r="G41" t="inlineStr">
        <is>
          <t>generalized (CBRE Pattaya H2 2024 report, published 5 February 2025; count date not stated; Pattaya only; used as a proxy for the Chon Buri room stock)</t>
        </is>
      </c>
      <c r="H41" t="inlineStr">
        <is>
          <t>Pattaya Overall Figures H2 2024, CBRE Thailand. https://www.cbre.com/insights/figures/pattaya-overall-figures-h2-2024. Hotel market summary. Third-party broker data, not TAT or Department of Tourism. Scope and count date not stated on the page. The figure covers Pattaya, not Chon Buri. It is used as a proxy for the Chon Buri room stock in the assumptions table.</t>
        </is>
      </c>
    </row>
    <row r="42">
      <c r="A42" t="inlineStr">
        <is>
          <t>inputs.csv</t>
        </is>
      </c>
      <c r="B42" t="inlineStr">
        <is>
          <t>pattaya_hotel_keys_h2_2025</t>
        </is>
      </c>
      <c r="C42" t="n">
        <v>34743</v>
      </c>
      <c r="F42" t="inlineStr">
        <is>
          <t>hotel keys (rooms)</t>
        </is>
      </c>
      <c r="G42" t="inlineStr">
        <is>
          <t>sourced (CBRE broker data; not an official source)</t>
        </is>
      </c>
      <c r="H42" t="inlineStr">
        <is>
          <t>Pattaya Overall Figures H2 2025, CBRE. https://www.cbre.com/insights/figures/pattaya-overall-figures-h2-2025. Hotel market summary. Third-party broker data. Property count on CBRE's basis is 161 in this report.</t>
        </is>
      </c>
    </row>
    <row r="43">
      <c r="A43" t="inlineStr">
        <is>
          <t>inputs.csv</t>
        </is>
      </c>
      <c r="B43" t="inlineStr">
        <is>
          <t>pattaya_occupancy_2024_cbre</t>
        </is>
      </c>
      <c r="C43" t="n">
        <v>71</v>
      </c>
      <c r="F43" t="inlineStr">
        <is>
          <t>percent</t>
        </is>
      </c>
      <c r="G43" t="inlineStr">
        <is>
          <t>generalized (CBRE Pattaya 2024 occupancy of 71.0 percent; Pattaya only; reference only, since the model now uses the official Chon Buri occupancy of 80.42 percent)</t>
        </is>
      </c>
      <c r="H43" t="inlineStr">
        <is>
          <t>Pattaya Overall Figures H2 2024, CBRE Thailand. https://www.cbre.com/insights/figures/pattaya-overall-figures-h2-2024. Hotel performance summary, quoted as 'an average occupancy rate of 71.0% in 2024'. Not a TAT figure. Full year or H2 only is not confirmed on the page.</t>
        </is>
      </c>
    </row>
    <row r="44">
      <c r="A44" t="inlineStr">
        <is>
          <t>inputs.csv</t>
        </is>
      </c>
      <c r="B44" t="inlineStr">
        <is>
          <t>chonburi_occupancy_2024_tat</t>
        </is>
      </c>
      <c r="C44" t="n">
        <v>80.42</v>
      </c>
      <c r="F44" t="inlineStr">
        <is>
          <t>percent</t>
        </is>
      </c>
      <c r="G44" t="inlineStr">
        <is>
          <t>sourced (National Statistical Office Table 17.1, occupancy rate for Chon Buri, 2024, data as of 13 January 2025, source Ministry of Tourism and Sports; official, not issued by TAT; the same figure appears in Statistical Yearbook Thailand 2025, Table 17.2)</t>
        </is>
      </c>
      <c r="H44" t="inlineStr">
        <is>
          <t>https://www.nso.go.th/nsoweb/downloadFile/stat_main_nso/FgpN/file_th (National Statistical Office Table 17.1, province occupancy rate, 2024)</t>
        </is>
      </c>
    </row>
    <row r="45">
      <c r="A45" t="inlineStr">
        <is>
          <t>inputs.csv</t>
        </is>
      </c>
      <c r="B45" t="inlineStr">
        <is>
          <t>pattaya_occupancy_2025</t>
        </is>
      </c>
      <c r="C45" t="n">
        <v>65.5</v>
      </c>
      <c r="F45" t="inlineStr">
        <is>
          <t>percent (H2 2025 only)</t>
        </is>
      </c>
      <c r="G45" t="inlineStr">
        <is>
          <t>sourced (CBRE Pattaya H2 2025: hotel occupancy for July to December 2025 only; a half-year figure, not a full-year 2025 value; Pattaya mid-range and above hotels; not comparable with the 71.0 percent for 2024)</t>
        </is>
      </c>
      <c r="H45" t="inlineStr">
        <is>
          <t>https://mktgdocs.cbre.com/2299/175bc843-73b5-4940-a859-14bd0f57a6a1-1295998069/Pattaya-Overall-Figures-H2-202.pdf (CBRE Pattaya Overall H2 2025, Quick Statistics)</t>
        </is>
      </c>
    </row>
    <row r="46">
      <c r="A46" t="inlineStr">
        <is>
          <t>inputs.csv</t>
        </is>
      </c>
      <c r="B46" t="inlineStr">
        <is>
          <t>chonburi_occupancy_2019_tat</t>
        </is>
      </c>
      <c r="C46" t="n">
        <v>80.40000000000001</v>
      </c>
      <c r="F46" t="inlineStr">
        <is>
          <t>percent</t>
        </is>
      </c>
      <c r="G46" t="inlineStr">
        <is>
          <t>unconfirmed (candidate 80.40 percent from a non-official economic policy compilation; the year assignment is weak; confirm against the NSO 2019 provincial table; not used in the model)</t>
        </is>
      </c>
      <c r="H46" t="inlineStr">
        <is>
          <t>candidate only: an economic policy compilation PDF on progressivemovement.in.th (page 5); not an official source</t>
        </is>
      </c>
    </row>
    <row r="47">
      <c r="A47" t="inlineStr">
        <is>
          <t>inputs.csv</t>
        </is>
      </c>
      <c r="B47" t="inlineStr">
        <is>
          <t>chonburi_tourists_jan_nov_2024</t>
        </is>
      </c>
      <c r="C47" t="n">
        <v>24780000</v>
      </c>
      <c r="F47" t="inlineStr">
        <is>
          <t>persons</t>
        </is>
      </c>
      <c r="G47" t="inlineStr">
        <is>
          <t>unconfirmed (24.78 million tourists for January to November 2024 in a Pattaya Mail article relaying provincial figures; consistent with the NSO full-year total of 28,156,302; not confirmed by a primary source)</t>
        </is>
      </c>
      <c r="H47" t="inlineStr">
        <is>
          <t>candidate only: https://www.pattayamail.com/news/pattaya-tourism-soars-record-breaking-numbers-in-2024-and-promising-start-to-2025-484964</t>
        </is>
      </c>
    </row>
    <row r="48">
      <c r="A48" t="inlineStr">
        <is>
          <t>inputs.csv</t>
        </is>
      </c>
      <c r="B48" t="inlineStr">
        <is>
          <t>chonburi_foreign_visitors_jan_nov_2024</t>
        </is>
      </c>
      <c r="C48" t="n">
        <v>10450000</v>
      </c>
      <c r="F48" t="inlineStr">
        <is>
          <t>persons</t>
        </is>
      </c>
      <c r="G48" t="inlineStr">
        <is>
          <t>unconfirmed (10.45 million foreign visitors for January to November 2024 in a Pattaya Mail article; consistent with the full-year foreign count of 11,689,827; not confirmed by a primary source)</t>
        </is>
      </c>
      <c r="H48" t="inlineStr">
        <is>
          <t>candidate only: https://www.pattayamail.com/news/pattaya-tourism-soars-record-breaking-numbers-in-2024-and-promising-start-to-2025-484964</t>
        </is>
      </c>
    </row>
    <row r="49">
      <c r="A49" t="inlineStr">
        <is>
          <t>inputs.csv</t>
        </is>
      </c>
      <c r="B49" t="inlineStr">
        <is>
          <t>chonburi_foreign_arrivals_2024_full_year</t>
        </is>
      </c>
      <c r="C49" t="n">
        <v>11689827</v>
      </c>
      <c r="F49" t="inlineStr">
        <is>
          <t>persons</t>
        </is>
      </c>
      <c r="G49" t="inlineStr">
        <is>
          <t>sourced (TAT Intelligence Center workbook, 2024 revised figure 2567R, foreign visitors to Chon Buri province; a provincial visitor count of persons travelling for tourism or other purposes, with or without an overnight stay, not a count of border arrivals). The figure 28,156,302 is the Thai plus foreign total and must not be used as foreign arrivals.</t>
        </is>
      </c>
      <c r="H49" t="inlineStr">
        <is>
          <t>https://intelligencecenter.tat.or.th/articles/9907 (TAT Intelligence Center domestic statistics workbook linked from this page; Summary sheet, row Chon Buri, column 2567R)</t>
        </is>
      </c>
    </row>
    <row r="50">
      <c r="A50" t="inlineStr">
        <is>
          <t>inputs.csv</t>
        </is>
      </c>
      <c r="B50" t="inlineStr">
        <is>
          <t>chonburi_foreign_arrivals_2019</t>
        </is>
      </c>
      <c r="C50" t="n">
        <v>9966574</v>
      </c>
      <c r="F50" t="inlineStr">
        <is>
          <t>persons</t>
        </is>
      </c>
      <c r="G50" t="inlineStr">
        <is>
          <t>sourced (TAT Intelligence Center workbook, 2019 revised figure 2562R, foreign visitors to Chon Buri province; a provincial visitor count, not a count of border arrivals)</t>
        </is>
      </c>
      <c r="H50" t="inlineStr">
        <is>
          <t>https://intelligencecenter.tat.or.th/articles/9907 (TAT Intelligence Center domestic statistics workbook, 2019 revised figure 2562R)</t>
        </is>
      </c>
    </row>
    <row r="51">
      <c r="A51" t="inlineStr">
        <is>
          <t>inputs.csv</t>
        </is>
      </c>
      <c r="B51" t="inlineStr">
        <is>
          <t>utapao_expansion_progress_overall_percent</t>
        </is>
      </c>
      <c r="F51" t="inlineStr">
        <is>
          <t>percent complete</t>
        </is>
      </c>
      <c r="G51" t="inlineStr">
        <is>
          <t>pending (the EECO page shows 0 percent, but its progress widget carries 16; the date label is October 2025; not used)</t>
        </is>
      </c>
      <c r="H51" t="inlineStr">
        <is>
          <t>https://www.eeco.or.th/en/u-tapao-airport-and-eastern-aviation-city/ (snapshot dated October 2025)</t>
        </is>
      </c>
    </row>
    <row r="52">
      <c r="A52" t="inlineStr">
        <is>
          <t>inputs.csv</t>
        </is>
      </c>
      <c r="B52" t="inlineStr">
        <is>
          <t>utapao_expansion_opening_year</t>
        </is>
      </c>
      <c r="C52" t="n">
        <v>2031</v>
      </c>
      <c r="F52" t="inlineStr">
        <is>
          <t>calendar year</t>
        </is>
      </c>
      <c r="G52" t="inlineStr">
        <is>
          <t>sourced (trade news report of February 2026: operations targeted to begin in 2031; secondary, not an EEC primary; a five-year build from notice to proceed on 3 April 2026 gives the same year)</t>
        </is>
      </c>
      <c r="H52" t="inlineStr">
        <is>
          <t>https://www.britishaviationgroup.co.uk/?p=24880 (trade news report, February 2026)</t>
        </is>
      </c>
    </row>
    <row r="53">
      <c r="A53" t="inlineStr">
        <is>
          <t>inputs.csv</t>
        </is>
      </c>
      <c r="B53" t="inlineStr">
        <is>
          <t>high_speed_rail_full_service_year_eeco</t>
        </is>
      </c>
      <c r="C53" t="n">
        <v>2031</v>
      </c>
      <c r="F53" t="inlineStr">
        <is>
          <t>calendar year</t>
        </is>
      </c>
      <c r="G53" t="inlineStr">
        <is>
          <t>sourced (EEC Office, page status October 2025)</t>
        </is>
      </c>
      <c r="H53" t="inlineStr">
        <is>
          <t>High-speed rail linking three airports, EEC Office. https://www.eeco.or.th/en/high-speed-rail-linking-three-airports/. Planned opening and key dates section (page status October 2025). Full high-speed rail service is expected to commence operations in 2031.</t>
        </is>
      </c>
    </row>
    <row r="54">
      <c r="A54" t="inlineStr">
        <is>
          <t>inputs.csv</t>
        </is>
      </c>
      <c r="B54" t="inlineStr">
        <is>
          <t>high_speed_rail_full_service_year_wikipedia</t>
        </is>
      </c>
      <c r="C54" t="n">
        <v>2029</v>
      </c>
      <c r="F54" t="inlineStr">
        <is>
          <t>calendar year</t>
        </is>
      </c>
      <c r="G54" t="inlineStr">
        <is>
          <t>sourced (Wikipedia infobox, secondary; superseded: the article's own December 2025 status entry gives 2030, and the EEC Office page gives 2031, which is the value used)</t>
        </is>
      </c>
      <c r="H54" t="inlineStr">
        <is>
          <t>Don Mueang-Suvarnabhumi-U-Tapao high-speed railway, Wikipedia. https://en.wikipedia.org/wiki/Don_Mueang%E2%80%93Suvarnabhumi%E2%80%93U-Tapao_high-speed_railway. Infobox. Secondary source that conflicts with the 2031 date on the EEC Office page. The article gives 2030 in its status section.</t>
        </is>
      </c>
    </row>
    <row r="55">
      <c r="A55" t="inlineStr">
        <is>
          <t>inputs.csv</t>
        </is>
      </c>
      <c r="B55" t="inlineStr">
        <is>
          <t>high_speed_rail_status_sep_2026</t>
        </is>
      </c>
      <c r="F55" t="inlineStr">
        <is>
          <t>status text</t>
        </is>
      </c>
      <c r="G55" t="inlineStr">
        <is>
          <t>pending (text status: the project remains delayed; Nation Thailand article dated 7 September 2026; no numeric value)</t>
        </is>
      </c>
      <c r="H55" t="inlineStr">
        <is>
          <t>Uttapao and High-Speed Rail: EEC's Make-or-Break Infrastructure Bet, Nation Thailand (7 Sep 2026). https://www.nationthailand.com/business/economy/40070765. High-speed rail paragraph. The article states that the project remains delayed. Text value, not numeric.</t>
        </is>
      </c>
    </row>
    <row r="56">
      <c r="A56" t="inlineStr">
        <is>
          <t>inputs.csv</t>
        </is>
      </c>
      <c r="B56" t="inlineStr">
        <is>
          <t>motorway7_utapao_extension_length_km</t>
        </is>
      </c>
      <c r="C56" t="n">
        <v>1.92</v>
      </c>
      <c r="F56" t="inlineStr">
        <is>
          <t>kilometres</t>
        </is>
      </c>
      <c r="G56" t="inlineStr">
        <is>
          <t>sourced (ADB news release, 6 June 2025)</t>
        </is>
      </c>
      <c r="H56" t="inlineStr">
        <is>
          <t>ADB news release, Thailand EEC infrastructure, 6 June 2025. https://www.adb.org/news/adb-supports-resilient-infrastructure-development-eastern-thailand. Project description paragraph. Department of Highways project financed by an ADB loan of USD 68.74 million, not converted.</t>
        </is>
      </c>
    </row>
    <row r="57">
      <c r="A57" t="inlineStr">
        <is>
          <t>inputs.csv</t>
        </is>
      </c>
      <c r="B57" t="inlineStr">
        <is>
          <t>motorway7_utapao_extension_completion_year</t>
        </is>
      </c>
      <c r="C57" t="n">
        <v>2028</v>
      </c>
      <c r="F57" t="inlineStr">
        <is>
          <t>calendar year</t>
        </is>
      </c>
      <c r="G57" t="inlineStr">
        <is>
          <t>sourced (Thansettakij report dated 19 June 2025: expected completion July 2028, 36-month construction; secondary news source)</t>
        </is>
      </c>
      <c r="H57" t="inlineStr">
        <is>
          <t>https://www.thansettakij.com/economy/megaproject/630463 (report dated 19 June 2025; secondary news source)</t>
        </is>
      </c>
    </row>
    <row r="58">
      <c r="A58" t="inlineStr">
        <is>
          <t>inputs.csv</t>
        </is>
      </c>
      <c r="B58" t="inlineStr">
        <is>
          <t>pattaya_map_ta_phut_motorway7_opening_year</t>
        </is>
      </c>
      <c r="C58" t="n">
        <v>2020</v>
      </c>
      <c r="F58" t="inlineStr">
        <is>
          <t>calendar year (opened August 2020)</t>
        </is>
      </c>
      <c r="G58" t="inlineStr">
        <is>
          <t>sourced (Pattaya Mail, 24 Aug 2020)</t>
        </is>
      </c>
      <c r="H58" t="inlineStr">
        <is>
          <t>Thai Prime Minister opens Pattaya-Map Ta Phut Highway, Pattaya Mail (24 Aug 2020). https://www.pattayamail.com/news/thai-prime-minister-opens-pattaya-map-ta-phut-highway-312223. Opening paragraph. Length and interchanges not stated in the fetched text.</t>
        </is>
      </c>
    </row>
    <row r="59">
      <c r="A59" t="inlineStr">
        <is>
          <t>inputs.csv</t>
        </is>
      </c>
      <c r="B59" t="inlineStr">
        <is>
          <t>tat_spend_per_trip_all_nationalities_2023</t>
        </is>
      </c>
      <c r="C59" t="n">
        <v>50900</v>
      </c>
      <c r="F59" t="inlineStr">
        <is>
          <t>THB per trip</t>
        </is>
      </c>
      <c r="G59" t="inlineStr">
        <is>
          <t>sourced (secondary: Government Public Relations Department report of the 2023 TAT survey, 50,900 THB per trip for all international tourists; the TAT primary document was not reached; per trip, not per park visit; not used by the model)</t>
        </is>
      </c>
      <c r="H59" t="inlineStr">
        <is>
          <t>Government Public Relations Department (relaying the 2023 TAT tourist spending survey of 30,054 tourists), https://thailand.prd.go.th/en/content/category/detail/id/52/iid/266973</t>
        </is>
      </c>
    </row>
    <row r="60">
      <c r="A60" t="inlineStr">
        <is>
          <t>inputs.csv</t>
        </is>
      </c>
      <c r="B60" t="inlineStr">
        <is>
          <t>tat_spend_per_trip_middle_eastern_2023</t>
        </is>
      </c>
      <c r="C60" t="n">
        <v>88512</v>
      </c>
      <c r="F60" t="inlineStr">
        <is>
          <t>THB per person per trip</t>
        </is>
      </c>
      <c r="G60" t="inlineStr">
        <is>
          <t>unconfirmed (88,512 THB per person per trip for the Middle Eastern market group in 2023, via secondary coverage; not used in the model)</t>
        </is>
      </c>
      <c r="H60" t="inlineStr">
        <is>
          <t>Pending. Pattaya Mail (10 May 2025, https://www.pattayamail.com/latestnews/news/middle-eastern-tourists-top-spending-charts-in-thailand-with-uae-visitors-averaging-over-thb-8800-daily-500402) attributes the figure to TAT 2023 data. The TAT primary document was not fetched.</t>
        </is>
      </c>
    </row>
    <row r="61">
      <c r="A61" t="inlineStr">
        <is>
          <t>inputs.csv</t>
        </is>
      </c>
      <c r="B61" t="inlineStr">
        <is>
          <t>tat_spend_per_day_uae_2023</t>
        </is>
      </c>
      <c r="C61" t="n">
        <v>8834</v>
      </c>
      <c r="F61" t="inlineStr">
        <is>
          <t>THB per person per day</t>
        </is>
      </c>
      <c r="G61" t="inlineStr">
        <is>
          <t>unconfirmed (8,834 THB per person per day for UAE visitors in 2023, via secondary coverage; not used in the model)</t>
        </is>
      </c>
      <c r="H61" t="inlineStr">
        <is>
          <t>Pending. The same Pattaya Mail article (10 May 2025) attributes the figure to TAT 2023 data. The TAT primary document was not fetched.</t>
        </is>
      </c>
    </row>
    <row r="62">
      <c r="A62" t="inlineStr">
        <is>
          <t>inputs.csv</t>
        </is>
      </c>
      <c r="B62" t="inlineStr">
        <is>
          <t>tat_spend_per_night_by_nationality_2024_2025</t>
        </is>
      </c>
      <c r="F62" t="inlineStr">
        <is>
          <t>THB per person per night</t>
        </is>
      </c>
      <c r="G62" t="inlineStr">
        <is>
          <t>pending (not found in any source read)</t>
        </is>
      </c>
      <c r="H62" t="inlineStr">
        <is>
          <t>No source found. The TAT survey article gives no per-night figures.</t>
        </is>
      </c>
    </row>
    <row r="63">
      <c r="A63" t="inlineStr">
        <is>
          <t>inputs.csv</t>
        </is>
      </c>
      <c r="B63" t="inlineStr">
        <is>
          <t>tat_spend_per_trip_by_nationality_2024_2025_official</t>
        </is>
      </c>
      <c r="F63" t="inlineStr">
        <is>
          <t>THB per person per trip</t>
        </is>
      </c>
      <c r="G63" t="inlineStr">
        <is>
          <t>pending (TAT news releases give 2025 partial-year values: China 54,230 THB per trip to 12 December 2025; Singapore 45,000 to September 2025; Japan about 39,000 THB per person to 18 September 2025; three nationalities and periods, so no single value is entered)</t>
        </is>
      </c>
      <c r="H63" t="inlineStr">
        <is>
          <t>https://www.tatnews.org/?p=84576 (TAT news releases; further pages ?p=83305 and ?p=82974)</t>
        </is>
      </c>
    </row>
    <row r="64">
      <c r="A64" t="inlineStr">
        <is>
          <t>inputs.csv</t>
        </is>
      </c>
      <c r="B64" t="inlineStr">
        <is>
          <t>mots_spend_per_trip_all_tourists_2019</t>
        </is>
      </c>
      <c r="C64" t="n">
        <v>48580</v>
      </c>
      <c r="F64" t="inlineStr">
        <is>
          <t>THB per international tourist per trip</t>
        </is>
      </c>
      <c r="G64" t="inlineStr">
        <is>
          <t>sourced (Ministry of Tourism and Sports, spending per trip of foreign tourists, 2019, preliminary)</t>
        </is>
      </c>
      <c r="H64" t="inlineStr">
        <is>
          <t>https://www.mots.go.th/download/article/article_20200123132729.pdf (Ministry of Tourism and Sports, 2019, preliminary)</t>
        </is>
      </c>
    </row>
    <row r="65">
      <c r="A65" t="inlineStr">
        <is>
          <t>inputs.csv</t>
        </is>
      </c>
      <c r="B65" t="inlineStr">
        <is>
          <t>mots_spend_per_day_all_tourists_2019</t>
        </is>
      </c>
      <c r="C65" t="n">
        <v>5172.29</v>
      </c>
      <c r="F65" t="inlineStr">
        <is>
          <t>THB per international tourist per day</t>
        </is>
      </c>
      <c r="G65" t="inlineStr">
        <is>
          <t>sourced (Ministry of Tourism and Sports, spending per day of foreign tourists, 2019 full-year summary)</t>
        </is>
      </c>
      <c r="H65" t="inlineStr">
        <is>
          <t>https://www.mots.go.th/download/article/article_20201104090605.pdf (Ministry of Tourism and Sports, 2019 full-year summary)</t>
        </is>
      </c>
    </row>
    <row r="66">
      <c r="A66" t="inlineStr">
        <is>
          <t>inputs.csv</t>
        </is>
      </c>
      <c r="B66" t="inlineStr">
        <is>
          <t>intl_avg_length_of_stay_2016_days</t>
        </is>
      </c>
      <c r="C66" t="n">
        <v>9.6</v>
      </c>
      <c r="F66" t="inlineStr">
        <is>
          <t>days</t>
        </is>
      </c>
      <c r="G66" t="inlineStr">
        <is>
          <t>sourced (NSO Indicators Economic 2562, Table 8.1, average length of stay of international tourists 2016)</t>
        </is>
      </c>
      <c r="H66" t="inlineStr">
        <is>
          <t>https://www.nso.go.th/public/e-book/Indicators-Economic/Indicators-Economic-2562/files/assets/basic-html/page134.html, Table 8.1 (printed page 107), international block, 2016</t>
        </is>
      </c>
    </row>
    <row r="67">
      <c r="A67" t="inlineStr">
        <is>
          <t>inputs.csv</t>
        </is>
      </c>
      <c r="B67" t="inlineStr">
        <is>
          <t>intl_avg_length_of_stay_2024_days</t>
        </is>
      </c>
      <c r="C67" t="n">
        <v>9.4</v>
      </c>
      <c r="F67" t="inlineStr">
        <is>
          <t>days</t>
        </is>
      </c>
      <c r="G67" t="inlineStr">
        <is>
          <t>sourced (MoTS statistics workbook, average length of stay 2024, all international arrivals)</t>
        </is>
      </c>
      <c r="H67" t="inlineStr">
        <is>
          <t>https://www.mots.go.th/images/v2022_c1331820-8936-4423-84cd-65278cebf658.xlsx, sheet Q1-Q4, row Grand Total, column Length of Stay (Days) (2024)</t>
        </is>
      </c>
    </row>
    <row r="68">
      <c r="A68" t="inlineStr">
        <is>
          <t>inputs.csv</t>
        </is>
      </c>
      <c r="B68" t="inlineStr">
        <is>
          <t>intl_first_visit_share_2024</t>
        </is>
      </c>
      <c r="F68" t="inlineStr">
        <is>
          <t>percent of international arrivals on first visit</t>
        </is>
      </c>
      <c r="G68" t="inlineStr">
        <is>
          <t>pending (not found in any source read)</t>
        </is>
      </c>
      <c r="H68" t="inlineStr">
        <is>
          <t>Not found on a fetched TAT page. Niche segment and platform figures are not national and are not used.</t>
        </is>
      </c>
    </row>
    <row r="69">
      <c r="A69" t="inlineStr">
        <is>
          <t>inputs.csv</t>
        </is>
      </c>
      <c r="B69" t="inlineStr">
        <is>
          <t>thai_domestic_spend_per_trip_2024</t>
        </is>
      </c>
      <c r="C69" t="n">
        <v>4000</v>
      </c>
      <c r="F69" t="inlineStr">
        <is>
          <t>THB per person per domestic trip</t>
        </is>
      </c>
      <c r="G69" t="inlineStr">
        <is>
          <t>unconfirmed (about 4,000 THB per domestic trip, stated as current in an article dated 1 September 2024; no period and no primary source)</t>
        </is>
      </c>
      <c r="H69" t="inlineStr">
        <is>
          <t>No fetched source. A search summary citing TAT domestic data was not verified.</t>
        </is>
      </c>
    </row>
    <row r="70">
      <c r="A70" t="inlineStr">
        <is>
          <t>inputs.csv</t>
        </is>
      </c>
      <c r="B70" t="inlineStr">
        <is>
          <t>thai_resident_attraction_visit_share_2024</t>
        </is>
      </c>
      <c r="F70" t="inlineStr">
        <is>
          <t>percent of attraction visits by Thai residents</t>
        </is>
      </c>
      <c r="G70" t="inlineStr">
        <is>
          <t>pending (not found in any source read)</t>
        </is>
      </c>
      <c r="H70" t="inlineStr">
        <is>
          <t>Not found.</t>
        </is>
      </c>
    </row>
    <row r="71">
      <c r="A71" t="inlineStr">
        <is>
          <t>inputs.csv</t>
        </is>
      </c>
      <c r="B71" t="inlineStr">
        <is>
          <t>intl_arrivals_2025</t>
        </is>
      </c>
      <c r="C71" t="n">
        <v>32974321</v>
      </c>
      <c r="F71" t="inlineStr">
        <is>
          <t>persons</t>
        </is>
      </c>
      <c r="G71" t="inlineStr">
        <is>
          <t>sourced (MoTS statistics workbook, international arrivals 2025, January to December)</t>
        </is>
      </c>
      <c r="H71" t="inlineStr">
        <is>
          <t>https://www.mots.go.th/images/v2022_5a7fbad7-1fcf-4410-a387-f29bb17486e2.xlsx, sheet Q1-Q4, row Grand Total, column No. of Arrivals (2025)</t>
        </is>
      </c>
    </row>
    <row r="72">
      <c r="A72" t="inlineStr">
        <is>
          <t>inputs.csv</t>
        </is>
      </c>
      <c r="B72" t="inlineStr">
        <is>
          <t>intl_arrivals_2024</t>
        </is>
      </c>
      <c r="C72" t="n">
        <v>35545714</v>
      </c>
      <c r="F72" t="inlineStr">
        <is>
          <t>persons</t>
        </is>
      </c>
      <c r="G72" t="inlineStr">
        <is>
          <t>sourced (provisional: Ministry of Tourism and Sports workbook, 2024p, January to December; file footer as at 1 January 2026)</t>
        </is>
      </c>
      <c r="H72" t="inlineStr">
        <is>
          <t>https://www.mots.go.th/images/v2022_875a5789-3bcc-4700-bf55-b86fa7f1053c.xlsx (Ministry of Tourism and Sports workbook, Grand Total, 2024p, January to December)</t>
        </is>
      </c>
    </row>
    <row r="73">
      <c r="A73" t="inlineStr">
        <is>
          <t>inputs.csv</t>
        </is>
      </c>
      <c r="B73" t="inlineStr">
        <is>
          <t>intl_arrivals_2019</t>
        </is>
      </c>
      <c r="C73" t="n">
        <v>39916251</v>
      </c>
      <c r="F73" t="inlineStr">
        <is>
          <t>persons</t>
        </is>
      </c>
      <c r="G73" t="inlineStr">
        <is>
          <t>sourced (Ministry of Tourism and Sports workbook, 2019 year total, revised figure 2562R)</t>
        </is>
      </c>
      <c r="H73" t="inlineStr">
        <is>
          <t>https://www.mots.go.th/download/article/article_20201103140333.xlsx (Ministry of Tourism and Sports workbook, 2019 year total, revised 2562R, updated October 2020)</t>
        </is>
      </c>
    </row>
    <row r="74">
      <c r="A74" t="inlineStr">
        <is>
          <t>inputs.csv</t>
        </is>
      </c>
      <c r="B74" t="inlineStr">
        <is>
          <t>intl_arrivals_2020</t>
        </is>
      </c>
      <c r="C74" t="n">
        <v>6725000</v>
      </c>
      <c r="F74" t="inlineStr">
        <is>
          <t>persons</t>
        </is>
      </c>
      <c r="G74" t="inlineStr">
        <is>
          <t>sourced (NSO Thai Economic Indicators 2025, Table 8.1, international tourist arrivals 2020)</t>
        </is>
      </c>
      <c r="H74" t="inlineStr">
        <is>
          <t>https://www.nso.go.th/public/e-book/Indicators-Economic/Thai_Economic_Indicators_2025/158, Table 8.1, 2020</t>
        </is>
      </c>
    </row>
    <row r="75">
      <c r="A75" t="inlineStr">
        <is>
          <t>inputs.csv</t>
        </is>
      </c>
      <c r="B75" t="inlineStr">
        <is>
          <t>intl_tourism_receipts_2025_mots</t>
        </is>
      </c>
      <c r="C75" t="n">
        <v>1587.208</v>
      </c>
      <c r="F75" t="inlineStr">
        <is>
          <t>THB bn</t>
        </is>
      </c>
      <c r="G75" t="inlineStr">
        <is>
          <t>sourced (MoTS statistics workbook, tourism receipts 2025; replaces the 2025 candidate of 1,536.574)</t>
        </is>
      </c>
      <c r="H75" t="inlineStr">
        <is>
          <t>https://www.mots.go.th/images/v2022_5a7fbad7-1fcf-4410-a387-f29bb17486e2.xlsx, sheet Q1-Q4, row Grand Total, column Tourism Receipts (1,587,208.17 million baht)</t>
        </is>
      </c>
    </row>
    <row r="76">
      <c r="A76" t="inlineStr">
        <is>
          <t>inputs.csv</t>
        </is>
      </c>
      <c r="B76" t="inlineStr">
        <is>
          <t>intl_tourism_receipts_2024_mots</t>
        </is>
      </c>
      <c r="C76" t="n">
        <v>1612.603</v>
      </c>
      <c r="F76" t="inlineStr">
        <is>
          <t>THB bn</t>
        </is>
      </c>
      <c r="G76" t="inlineStr">
        <is>
          <t>sourced (MoTS statistics workbook, tourism receipts 2024; replaces the news candidate of 1,670)</t>
        </is>
      </c>
      <c r="H76" t="inlineStr">
        <is>
          <t>https://www.mots.go.th/images/v2022_c1331820-8936-4423-84cd-65278cebf658.xlsx, sheet Q1-Q4 (January to December 2024), row Grand Total, column Tourism Receipts (1,612,602.87 million baht)</t>
        </is>
      </c>
    </row>
    <row r="77">
      <c r="A77" t="inlineStr">
        <is>
          <t>inputs.csv</t>
        </is>
      </c>
      <c r="B77" t="inlineStr">
        <is>
          <t>intl_tourism_receipts_usd_wdi_2019</t>
        </is>
      </c>
      <c r="C77" t="n">
        <v>59.81</v>
      </c>
      <c r="F77" t="inlineStr">
        <is>
          <t>US$ bn</t>
        </is>
      </c>
      <c r="G77" t="inlineStr">
        <is>
          <t>sourced (World Bank WDI ST.INT.TVLR.CD, 2019)</t>
        </is>
      </c>
      <c r="H77" t="inlineStr">
        <is>
          <t>World Bank API, indicator ST.INT.TVLR.CD (international tourism receipts for travel items), Thailand. https://api.worldbank.org/v2/country/THA/indicator/ST.INT.TVLR.CD?format=json&amp;date=2015:2025&amp;per_page=100. Data row 2019. Read through a summarizing fetch, not the raw JSON.</t>
        </is>
      </c>
    </row>
    <row r="78">
      <c r="A78" t="inlineStr">
        <is>
          <t>inputs.csv</t>
        </is>
      </c>
      <c r="B78" t="inlineStr">
        <is>
          <t>intl_tourism_receipts_usd_wdi_2020</t>
        </is>
      </c>
      <c r="C78" t="n">
        <v>14.198</v>
      </c>
      <c r="F78" t="inlineStr">
        <is>
          <t>US$ bn</t>
        </is>
      </c>
      <c r="G78" t="inlineStr">
        <is>
          <t>sourced (World Bank WDI ST.INT.TVLR.CD, 2020)</t>
        </is>
      </c>
      <c r="H78" t="inlineStr">
        <is>
          <t>World Bank API, indicator ST.INT.TVLR.CD (international tourism receipts for travel items), Thailand. https://api.worldbank.org/v2/country/THA/indicator/ST.INT.TVLR.CD?format=json&amp;date=2015:2025&amp;per_page=100. Data row 2020. Read through a summarizing fetch, not the raw JSON.</t>
        </is>
      </c>
    </row>
    <row r="79">
      <c r="A79" t="inlineStr">
        <is>
          <t>inputs.csv</t>
        </is>
      </c>
      <c r="B79" t="inlineStr">
        <is>
          <t>intl_tourism_receipts_bot_thb_bn_2019_2025</t>
        </is>
      </c>
      <c r="C79" t="n">
        <v>1400</v>
      </c>
      <c r="F79" t="inlineStr">
        <is>
          <t>THB bn</t>
        </is>
      </c>
      <c r="G79" t="inlineStr">
        <is>
          <t>dropped (the year is ambiguous in the secondary article and the Bank of Thailand series was not reached; not used; the sourced Ministry of Tourism and Sports receipts rows for 2024 and 2025 are used instead)</t>
        </is>
      </c>
      <c r="H79" t="inlineStr">
        <is>
          <t>Bank of Thailand balance-of-payments series (not reached); the secondary article gives 1.4 trillion baht for both 2024 and 2025</t>
        </is>
      </c>
    </row>
    <row r="80">
      <c r="A80" t="inlineStr">
        <is>
          <t>inputs.csv</t>
        </is>
      </c>
      <c r="B80" t="inlineStr">
        <is>
          <t>ticket_price_ocean_park_adult_hkd</t>
        </is>
      </c>
      <c r="C80" t="n">
        <v>498</v>
      </c>
      <c r="F80" t="inlineStr">
        <is>
          <t>HK$ per adult admission</t>
        </is>
      </c>
      <c r="G80" t="inlineStr">
        <is>
          <t>proxy (not current): the 2019 adult admission price, unconfirmed</t>
        </is>
      </c>
      <c r="H80" t="inlineStr">
        <is>
          <t>ocean_park_adult_admission_2019_hkd</t>
        </is>
      </c>
    </row>
    <row r="81">
      <c r="A81" t="inlineStr">
        <is>
          <t>inputs.csv</t>
        </is>
      </c>
      <c r="B81" t="inlineStr">
        <is>
          <t>ticket_price_universal_studios_singapore_adult_sgd</t>
        </is>
      </c>
      <c r="C81" t="n">
        <v>76</v>
      </c>
      <c r="F81" t="inlineStr">
        <is>
          <t>SGD per adult ticket</t>
        </is>
      </c>
      <c r="G81" t="inlineStr">
        <is>
          <t>sourced (Resorts World Sentosa ticket page, Adult Ticket Non-peak, one-day)</t>
        </is>
      </c>
      <c r="H81" t="inlineStr">
        <is>
          <t>https://www.rwsentosa.com/en/play/universal-studios-singapore/tickets, Adult Ticket Non-peak, one-day, age 13 and over (offer from 2026)</t>
        </is>
      </c>
    </row>
    <row r="82">
      <c r="A82" t="inlineStr">
        <is>
          <t>inputs.csv</t>
        </is>
      </c>
      <c r="B82" t="inlineStr">
        <is>
          <t>tsa_attraction_recreation_spending_share_2022</t>
        </is>
      </c>
      <c r="F82" t="inlineStr">
        <is>
          <t>percent of visitor spending on attractions or recreation</t>
        </is>
      </c>
      <c r="G82" t="inlineStr">
        <is>
          <t>pending (not found; the Tourism Satellite Account 2022 summary was too large to read)</t>
        </is>
      </c>
      <c r="H82" t="inlineStr">
        <is>
          <t>Thailand Tourism Satellite Account 2022 executive summary (MoTS). https://www.mots.go.th/images/v2022_1720151556703RXhlY3V0aXZlIHN1bW1hcnkgMjAyMi5wZGY=.pdf. PDF exceeded the fetch size limit. Attraction or recreation share not found.</t>
        </is>
      </c>
    </row>
    <row r="83">
      <c r="A83" t="inlineStr">
        <is>
          <t>inputs.csv</t>
        </is>
      </c>
      <c r="B83" t="inlineStr">
        <is>
          <t>hk_disneyland_attendance_fy2019</t>
        </is>
      </c>
      <c r="C83" t="n">
        <v>6.5</v>
      </c>
      <c r="F83" t="inlineStr">
        <is>
          <t>million visitors</t>
        </is>
      </c>
      <c r="G83" t="inlineStr">
        <is>
          <t>sourced (Hong Kong Disneyland Annual Business Review FY2019, attendance)</t>
        </is>
      </c>
      <c r="H83" t="inlineStr">
        <is>
          <t>https://hkcorporate.hongkongdisneyland.com/pdf/AnnualBusinessReview19.pdf, Key Business Drivers, printed page 8</t>
        </is>
      </c>
    </row>
    <row r="84">
      <c r="A84" t="inlineStr">
        <is>
          <t>inputs.csv</t>
        </is>
      </c>
      <c r="B84" t="inlineStr">
        <is>
          <t>hk_disneyland_attendance_fy2024</t>
        </is>
      </c>
      <c r="C84" t="n">
        <v>7.7</v>
      </c>
      <c r="F84" t="inlineStr">
        <is>
          <t>million visitors</t>
        </is>
      </c>
      <c r="G84" t="inlineStr">
        <is>
          <t>sourced (Hong Kong Disneyland Annual Business Review FY2024, attendance)</t>
        </is>
      </c>
      <c r="H84" t="inlineStr">
        <is>
          <t>https://hkcorporate.hongkongdisneyland.com/pdf/AnnualBusinessReview24.pdf, Key Highlights paragraph 2 (PDF page 1) and Key Business Drivers paragraph 15 (PDF page 7)</t>
        </is>
      </c>
    </row>
    <row r="85">
      <c r="A85" t="inlineStr">
        <is>
          <t>inputs.csv</t>
        </is>
      </c>
      <c r="B85" t="inlineStr">
        <is>
          <t>hk_disneyland_attendance_fy2025</t>
        </is>
      </c>
      <c r="C85" t="n">
        <v>7.5</v>
      </c>
      <c r="F85" t="inlineStr">
        <is>
          <t>million visitors</t>
        </is>
      </c>
      <c r="G85" t="inlineStr">
        <is>
          <t>sourced (Hong Kong Disneyland press release, 28 April 2026: total attendance 7.5 million in fiscal 2025)</t>
        </is>
      </c>
      <c r="H85" t="inlineStr">
        <is>
          <t>https://news.hongkongdisneyland.com/en/press/2026-04-28/ (Hong Kong Disneyland press release, 28 April 2026)</t>
        </is>
      </c>
    </row>
    <row r="86">
      <c r="A86" t="inlineStr">
        <is>
          <t>inputs.csv</t>
        </is>
      </c>
      <c r="B86" t="inlineStr">
        <is>
          <t>hk_disneyland_revenue_fy2025_hkd_m</t>
        </is>
      </c>
      <c r="C86" t="n">
        <v>8694</v>
      </c>
      <c r="F86" t="inlineStr">
        <is>
          <t>HK$ million</t>
        </is>
      </c>
      <c r="G86" t="inlineStr">
        <is>
          <t>sourced (Hong Kong Disneyland Annual Business Review FY2025, total revenue)</t>
        </is>
      </c>
      <c r="H86" t="inlineStr">
        <is>
          <t>https://hkcorporate.hongkongdisneyland.com/pdf/AnnualBusinessReview25.pdf, Key Highlights paragraph 3 (PDF page 1) and key financial results table (PDF page 8)</t>
        </is>
      </c>
    </row>
    <row r="87">
      <c r="A87" t="inlineStr">
        <is>
          <t>inputs.csv</t>
        </is>
      </c>
      <c r="B87" t="inlineStr">
        <is>
          <t>hk_disneyland_net_profit_fy2025_hkd_m</t>
        </is>
      </c>
      <c r="C87" t="n">
        <v>536</v>
      </c>
      <c r="F87" t="inlineStr">
        <is>
          <t>HK$ million</t>
        </is>
      </c>
      <c r="G87" t="inlineStr">
        <is>
          <t>sourced (Hong Kong Disneyland Annual Business Review FY2025, net profit)</t>
        </is>
      </c>
      <c r="H87" t="inlineStr">
        <is>
          <t>https://hkcorporate.hongkongdisneyland.com/pdf/AnnualBusinessReview25.pdf, net profit paragraph 21 (PDF page 9)</t>
        </is>
      </c>
    </row>
    <row r="88">
      <c r="A88" t="inlineStr">
        <is>
          <t>inputs.csv</t>
        </is>
      </c>
      <c r="B88" t="inlineStr">
        <is>
          <t>hk_disneyland_adult_ticket_tier1_hkd</t>
        </is>
      </c>
      <c r="C88" t="n">
        <v>669</v>
      </c>
      <c r="F88" t="inlineStr">
        <is>
          <t>HK$ per adult ticket</t>
        </is>
      </c>
      <c r="G88" t="inlineStr">
        <is>
          <t>sourced (Hong Kong Disneyland published rate, General Admission 1-Day Ticket, Tier 1, undiscounted)</t>
        </is>
      </c>
      <c r="H88" t="inlineStr">
        <is>
          <t>https://www.hongkongdisneyland.com/offers-discounts/travel-industry-salute/, block 1-Day Ticket (Tier 1), read 16 October 2026</t>
        </is>
      </c>
    </row>
    <row r="89">
      <c r="A89" t="inlineStr">
        <is>
          <t>inputs.csv</t>
        </is>
      </c>
      <c r="B89" t="inlineStr">
        <is>
          <t>hk_disneyland_adult_ticket_tier4_peak_hkd</t>
        </is>
      </c>
      <c r="C89" t="n">
        <v>939</v>
      </c>
      <c r="F89" t="inlineStr">
        <is>
          <t>HK$ per adult ticket</t>
        </is>
      </c>
      <c r="G89" t="inlineStr">
        <is>
          <t>sourced (Hong Kong Disneyland published rate, General Admission 1-Day Ticket, Tier 4 peak, undiscounted)</t>
        </is>
      </c>
      <c r="H89" t="inlineStr">
        <is>
          <t>https://www.hongkongdisneyland.com/offers-discounts/travel-industry-salute/, block 1-Day Ticket (Tier 4), read 16 October 2026</t>
        </is>
      </c>
    </row>
    <row r="90">
      <c r="A90" t="inlineStr">
        <is>
          <t>inputs.csv</t>
        </is>
      </c>
      <c r="B90" t="inlineStr">
        <is>
          <t>hk_disneyland_visitor_share_local_fy2019</t>
        </is>
      </c>
      <c r="C90" t="n">
        <v>41</v>
      </c>
      <c r="F90" t="inlineStr">
        <is>
          <t>percent of attendance</t>
        </is>
      </c>
      <c r="G90" t="inlineStr">
        <is>
          <t>sourced (Hong Kong Disneyland Annual Business Review FY2019, local visitors)</t>
        </is>
      </c>
      <c r="H90" t="inlineStr">
        <is>
          <t>https://hkcorporate.hongkongdisneyland.com/pdf/AnnualBusinessReview19.pdf, Key Business Drivers table, origin of visitors</t>
        </is>
      </c>
    </row>
    <row r="91">
      <c r="A91" t="inlineStr">
        <is>
          <t>inputs.csv</t>
        </is>
      </c>
      <c r="B91" t="inlineStr">
        <is>
          <t>hk_disneyland_visitor_share_mainland_fy2019</t>
        </is>
      </c>
      <c r="C91" t="n">
        <v>33</v>
      </c>
      <c r="F91" t="inlineStr">
        <is>
          <t>percent of attendance</t>
        </is>
      </c>
      <c r="G91" t="inlineStr">
        <is>
          <t>sourced (Hong Kong Disneyland Annual Business Review FY2019, Mainland China visitors)</t>
        </is>
      </c>
      <c r="H91" t="inlineStr">
        <is>
          <t>https://hkcorporate.hongkongdisneyland.com/pdf/AnnualBusinessReview19.pdf, Key Business Drivers table, origin of visitors</t>
        </is>
      </c>
    </row>
    <row r="92">
      <c r="A92" t="inlineStr">
        <is>
          <t>inputs.csv</t>
        </is>
      </c>
      <c r="B92" t="inlineStr">
        <is>
          <t>hk_disneyland_visitor_share_other_fy2019</t>
        </is>
      </c>
      <c r="C92" t="n">
        <v>26</v>
      </c>
      <c r="F92" t="inlineStr">
        <is>
          <t>percent of attendance</t>
        </is>
      </c>
      <c r="G92" t="inlineStr">
        <is>
          <t>sourced (Hong Kong Disneyland Annual Business Review FY2019, other markets)</t>
        </is>
      </c>
      <c r="H92" t="inlineStr">
        <is>
          <t>https://hkcorporate.hongkongdisneyland.com/pdf/AnnualBusinessReview19.pdf, Key Business Drivers table, origin of visitors</t>
        </is>
      </c>
    </row>
    <row r="93">
      <c r="A93" t="inlineStr">
        <is>
          <t>inputs.csv</t>
        </is>
      </c>
      <c r="B93" t="inlineStr">
        <is>
          <t>ocean_park_attendance_fy2024_25</t>
        </is>
      </c>
      <c r="C93" t="n">
        <v>3.46</v>
      </c>
      <c r="F93" t="inlineStr">
        <is>
          <t>million visitors</t>
        </is>
      </c>
      <c r="G93" t="inlineStr">
        <is>
          <t>sourced (Ocean Park results release, FY2024/25, combined dry park and Water World)</t>
        </is>
      </c>
      <c r="H93" t="inlineStr">
        <is>
          <t>https://corporate.oceanpark.com.hk/en/media-partnerships/press-release/ (Ocean Park corporate results, FY2024/25), body paragraph 1</t>
        </is>
      </c>
    </row>
    <row r="94">
      <c r="A94" t="inlineStr">
        <is>
          <t>inputs.csv</t>
        </is>
      </c>
      <c r="B94" t="inlineStr">
        <is>
          <t>ocean_park_non_local_visitors_fy2024_25</t>
        </is>
      </c>
      <c r="C94" t="n">
        <v>1.25</v>
      </c>
      <c r="F94" t="inlineStr">
        <is>
          <t>million visitors</t>
        </is>
      </c>
      <c r="G94" t="inlineStr">
        <is>
          <t>sourced (Ocean Park results release, FY2024/25, non-local visitors in the same scope)</t>
        </is>
      </c>
      <c r="H94" t="inlineStr">
        <is>
          <t>https://corporate.oceanpark.com.hk/en/media-partnerships/press-release/ (Ocean Park corporate results, FY2024/25), body paragraph 1</t>
        </is>
      </c>
    </row>
    <row r="95">
      <c r="A95" t="inlineStr">
        <is>
          <t>inputs.csv</t>
        </is>
      </c>
      <c r="B95" t="inlineStr">
        <is>
          <t>ocean_park_attendance_fy2018_19</t>
        </is>
      </c>
      <c r="C95" t="n">
        <v>5.7</v>
      </c>
      <c r="F95" t="inlineStr">
        <is>
          <t>million visitors</t>
        </is>
      </c>
      <c r="G95" t="inlineStr">
        <is>
          <t>sourced (secondary: search summary of the Ocean Park FY2018/19 results announcement; the operator's page returned HTTP 403)</t>
        </is>
      </c>
      <c r="H95" t="inlineStr">
        <is>
          <t>Ocean Park announces financial results for fiscal year ending 30 June 2019, attendance paragraph, https://www.oceanpark.com.hk/en/press-release/ocean-park-announces-financial-results-for-fiscal-year-ending-30-june-2019. The official page returned HTTP 403; the figure is from a search summary of the announcement.</t>
        </is>
      </c>
    </row>
    <row r="96">
      <c r="A96" t="inlineStr">
        <is>
          <t>inputs.csv</t>
        </is>
      </c>
      <c r="B96" t="inlineStr">
        <is>
          <t>ocean_park_revenue_fy2024_25_hkd_m</t>
        </is>
      </c>
      <c r="C96" t="n">
        <v>1280</v>
      </c>
      <c r="F96" t="inlineStr">
        <is>
          <t>HK$ million</t>
        </is>
      </c>
      <c r="G96" t="inlineStr">
        <is>
          <t>sourced (news report of the Legislative Council paper: revenue HK$1.28 billion, rounded; the exact 1,288.1 from a search summary would round to HK$1.29 billion and is not used)</t>
        </is>
      </c>
      <c r="H96" t="inlineStr">
        <is>
          <t>https://www.thestandard.com.hk/news/article/314853/Ocean-Park-reports-2747mn-losses-despite-revenue-growth-driven-by-giant-pandas (news report of the Legislative Council paper)</t>
        </is>
      </c>
    </row>
    <row r="97">
      <c r="A97" t="inlineStr">
        <is>
          <t>inputs.csv</t>
        </is>
      </c>
      <c r="B97" t="inlineStr">
        <is>
          <t>ocean_park_net_loss_fy2024_25_hkd_m</t>
        </is>
      </c>
      <c r="C97" t="n">
        <v>274.7</v>
      </c>
      <c r="F97" t="inlineStr">
        <is>
          <t>HK$ million</t>
        </is>
      </c>
      <c r="G97" t="inlineStr">
        <is>
          <t>sourced (Ocean Park results release, FY2024/25, deficit for the year; the release prints the dollar sign)</t>
        </is>
      </c>
      <c r="H97" t="inlineStr">
        <is>
          <t>https://corporate.oceanpark.com.hk/en/media-partnerships/press-release/ (Ocean Park corporate results, FY2024/25), footnote 1</t>
        </is>
      </c>
    </row>
    <row r="98">
      <c r="A98" t="inlineStr">
        <is>
          <t>inputs.csv</t>
        </is>
      </c>
      <c r="B98" t="inlineStr">
        <is>
          <t>ocean_park_revenue_fy2018_19_hkd_m</t>
        </is>
      </c>
      <c r="C98" t="n">
        <v>1734.9</v>
      </c>
      <c r="F98" t="inlineStr">
        <is>
          <t>HK$ million</t>
        </is>
      </c>
      <c r="G98" t="inlineStr">
        <is>
          <t>unconfirmed (search summary of the 2018/19 results announcement; the operator page returned HTTP 403)</t>
        </is>
      </c>
      <c r="H98" t="inlineStr">
        <is>
          <t>Ocean Park announces financial results for fiscal year ending 30 June 2019, results announcement, https://www.oceanpark.com.hk/en/press-release/ocean-park-announces-financial-results-for-fiscal-year-ending-30-june-2019. Official page returned HTTP 403; figure taken from the search result for the announcement.</t>
        </is>
      </c>
    </row>
    <row r="99">
      <c r="A99" t="inlineStr">
        <is>
          <t>inputs.csv</t>
        </is>
      </c>
      <c r="B99" t="inlineStr">
        <is>
          <t>ocean_park_total_operating_expenses_fy2024_25_hkd_m</t>
        </is>
      </c>
      <c r="C99" t="n">
        <v>1554.7</v>
      </c>
      <c r="F99" t="inlineStr">
        <is>
          <t>HK$ million</t>
        </is>
      </c>
      <c r="G99" t="inlineStr">
        <is>
          <t>derived: revenue HK,280 million plus net loss HK74.7 million, the total cost implied by the net result (includes depreciation, financing and tax)</t>
        </is>
      </c>
      <c r="H99" t="inlineStr">
        <is>
          <t>ocean_park_revenue_fy2024_25_hkd_m and ocean_park_net_loss_fy2024_25_hkd_m</t>
        </is>
      </c>
    </row>
    <row r="100">
      <c r="A100" t="inlineStr">
        <is>
          <t>inputs.csv</t>
        </is>
      </c>
      <c r="B100" t="inlineStr">
        <is>
          <t>ocean_park_total_operating_expenses_fy2018_19_hkd_m</t>
        </is>
      </c>
      <c r="C100" t="n">
        <v>1543.9</v>
      </c>
      <c r="F100" t="inlineStr">
        <is>
          <t>HK$ million</t>
        </is>
      </c>
      <c r="G100" t="inlineStr">
        <is>
          <t>sourced (primary: Ocean Park Annual Report 2018-2019, operating costs for the year ended 30 June 2019, read from the PDF; the same total appears in Note 17)</t>
        </is>
      </c>
      <c r="H100" t="inlineStr">
        <is>
          <t>Ocean Park Corporation, Annual Report 2018-2019, Income and Expenditure Account (printed p.79), https://media.oceanpark.com.hk/files/s3fs-public/ophk_ar18-19.pdf</t>
        </is>
      </c>
    </row>
    <row r="101">
      <c r="A101" t="inlineStr">
        <is>
          <t>inputs.csv</t>
        </is>
      </c>
      <c r="B101" t="inlineStr">
        <is>
          <t>ocean_park_adult_admission_2019_hkd</t>
        </is>
      </c>
      <c r="C101" t="n">
        <v>498</v>
      </c>
      <c r="F101" t="inlineStr">
        <is>
          <t>HK$ per adult ticket</t>
        </is>
      </c>
      <c r="G101" t="inlineStr">
        <is>
          <t>unconfirmed (article dated 7 June 2019; the exact effective date is not stated)</t>
        </is>
      </c>
      <c r="H101" t="inlineStr">
        <is>
          <t>Australasian Leisure Management, Entrance prices at Hong Kong's Ocean Park rise by 4%, price rise paragraph, https://www.ausleisure.com.au/news/entrance-prices-at-hong-kongs-ocean-park-rise-by-4. The adult ticket rose to HK$498 from June 2019. Article not fetched; figure from search results.</t>
        </is>
      </c>
    </row>
    <row r="102">
      <c r="A102" t="inlineStr">
        <is>
          <t>inputs.csv</t>
        </is>
      </c>
      <c r="B102" t="inlineStr">
        <is>
          <t>universal_studios_singapore_attendance_2024_million</t>
        </is>
      </c>
      <c r="F102" t="inlineStr">
        <is>
          <t>million visitors</t>
        </is>
      </c>
      <c r="G102" t="inlineStr">
        <is>
          <t>pending (not found in any source read)</t>
        </is>
      </c>
      <c r="H102" t="inlineStr">
        <is>
          <t>No annual visitor figure located in a fetched source. Candidate sources: the Genting Singapore annual report for 2024 and any Universal Destinations and Experiences release for 2024.</t>
        </is>
      </c>
    </row>
    <row r="103">
      <c r="A103" t="inlineStr">
        <is>
          <t>inputs.csv</t>
        </is>
      </c>
      <c r="B103" t="inlineStr">
        <is>
          <t>lotte_world_adult_ticket_2026_krw</t>
        </is>
      </c>
      <c r="C103" t="n">
        <v>67000</v>
      </c>
      <c r="F103" t="inlineStr">
        <is>
          <t>KRW per adult ticket (full-day pass)</t>
        </is>
      </c>
      <c r="G103" t="inlineStr">
        <is>
          <t>sourced (secondary: news report of the price rise to 67,000 won, effective 1 April 2026; the official price table was not read; the visitor guide's 62,000 won is not used)</t>
        </is>
      </c>
      <c r="H103" t="inlineStr">
        <is>
          <t>SBS Biz, Lotte World to raise adult ticket price, article dated 17 March 2026, lead paragraph, https://biz.sbs.co.kr/amp/article/20000297877. The article reports a rise from 64,000 won to 67,000 won from 1 April 2026. An English visitor guide for 2026 lists 62,000 won and is not used.</t>
        </is>
      </c>
    </row>
    <row r="104">
      <c r="A104" t="inlineStr">
        <is>
          <t>inputs.csv</t>
        </is>
      </c>
      <c r="B104" t="inlineStr">
        <is>
          <t>lotte_world_visitors_2023_million</t>
        </is>
      </c>
      <c r="C104" t="n">
        <v>5.193</v>
      </c>
      <c r="F104" t="inlineStr">
        <is>
          <t>million persons</t>
        </is>
      </c>
      <c r="G104" t="inlineStr">
        <is>
          <t>sourced (Korea Tourism Organization, Lotte World visitors 2023)</t>
        </is>
      </c>
      <c r="H104" t="inlineStr">
        <is>
          <t>https://know.tour.go.kr/ptourknow/tourgoInfoView19Re.do?seq=103270, 2023 visitor TOP 5 table (5,192,688 persons); same figure in the national TOP 10 endpoint</t>
        </is>
      </c>
    </row>
    <row r="105">
      <c r="A105" t="inlineStr">
        <is>
          <t>inputs.csv</t>
        </is>
      </c>
      <c r="B105" t="inlineStr">
        <is>
          <t>lotte_world_visitors_2024_million</t>
        </is>
      </c>
      <c r="C105" t="n">
        <v>5.257</v>
      </c>
      <c r="F105" t="inlineStr">
        <is>
          <t>million persons</t>
        </is>
      </c>
      <c r="G105" t="inlineStr">
        <is>
          <t>unconfirmed (the operator ranking endpoint gives 5,256,920 for search year 2024; the year is not printed on the response)</t>
        </is>
      </c>
      <c r="H105" t="inlineStr">
        <is>
          <t>https://know.tour.go.kr/stat/visitStatDis/rankingStat.do, search year 2024, rank 4 (5,256,920 persons)</t>
        </is>
      </c>
    </row>
    <row r="106">
      <c r="A106" t="inlineStr">
        <is>
          <t>inputs.csv</t>
        </is>
      </c>
      <c r="B106" t="inlineStr">
        <is>
          <t>shanghai_disneyland_attendance_2024_million</t>
        </is>
      </c>
      <c r="C106" t="n">
        <v>14.7</v>
      </c>
      <c r="F106" t="inlineStr">
        <is>
          <t>million visitors</t>
        </is>
      </c>
      <c r="G106" t="inlineStr">
        <is>
          <t>sourced (government page citing TEA estimate; fetched)</t>
        </is>
      </c>
      <c r="H106" t="inlineStr">
        <is>
          <t>Shanghai Municipal Government news, Shanghai Disneyland secures global top 5 position with record attendance, 27 October 2025, body paragraph on attendance, https://english.shanghai.gov.cn/en-Latest-WhatsNew/20251027/63097f5dd6ff4d2dad7e736573ead8d6.html. The release attributes the figure to the TEA Global Experience Index (the TEA report). It is an estimate, not a Disney total. Calendar year 2024.</t>
        </is>
      </c>
    </row>
    <row r="107">
      <c r="A107" t="inlineStr">
        <is>
          <t>inputs.csv</t>
        </is>
      </c>
      <c r="B107" t="inlineStr">
        <is>
          <t>shanghai_disneyland_attendance_2019_million</t>
        </is>
      </c>
      <c r="C107" t="n">
        <v>11.21</v>
      </c>
      <c r="F107" t="inlineStr">
        <is>
          <t>million visitors</t>
        </is>
      </c>
      <c r="G107" t="inlineStr">
        <is>
          <t>sourced (secondary copy of the TEA and AECOM Theme Index 2019: 11,210,000 for 2019, used as reported; the reporting period is not stated on the copy read)</t>
        </is>
      </c>
      <c r="H107" t="inlineStr">
        <is>
          <t>TEA and AECOM Theme Index 2019, Top 25 table, rank 10 (copy read at https://blooloop.com/files/75972/tea-report-2019.pdf)</t>
        </is>
      </c>
    </row>
    <row r="108">
      <c r="A108" t="inlineStr">
        <is>
          <t>inputs.csv</t>
        </is>
      </c>
      <c r="B108" t="inlineStr">
        <is>
          <t>thailand_10y_government_bond_yield_2026_10_14</t>
        </is>
      </c>
      <c r="C108" t="n">
        <v>0.0232</v>
      </c>
      <c r="F108" t="inlineStr">
        <is>
          <t>rate per year</t>
        </is>
      </c>
      <c r="G108" t="inlineStr">
        <is>
          <t>sourced (secondary aggregator; Bank of Thailand series not confirmed)</t>
        </is>
      </c>
      <c r="H108" t="inlineStr">
        <is>
          <t>Trading Economics, Thailand 10Y government bond yield, headline value for 14 October 2026, https://tradingeconomics.com/thailand/government-bond-yield. Secondary aggregator. The Bank of Thailand series was not reached (bot.or.th returned HTTP 404).</t>
        </is>
      </c>
    </row>
    <row r="109">
      <c r="A109" t="inlineStr">
        <is>
          <t>inputs.csv</t>
        </is>
      </c>
      <c r="B109" t="inlineStr">
        <is>
          <t>corporate_income_tax_rate_standard</t>
        </is>
      </c>
      <c r="C109" t="n">
        <v>0.2</v>
      </c>
      <c r="F109" t="inlineStr">
        <is>
          <t>rate of net profit</t>
        </is>
      </c>
      <c r="G109" t="inlineStr">
        <is>
          <t>sourced (Revenue Department English corporate income tax page: 20 percent on net profit; the page was last updated in 2020)</t>
        </is>
      </c>
      <c r="H109" t="inlineStr">
        <is>
          <t>https://www.rd.go.th/english/6044.html (Revenue Department English corporate income tax page)</t>
        </is>
      </c>
    </row>
    <row r="110">
      <c r="A110" t="inlineStr">
        <is>
          <t>inputs.csv</t>
        </is>
      </c>
      <c r="B110" t="inlineStr">
        <is>
          <t>vat_statutory_rate</t>
        </is>
      </c>
      <c r="C110" t="n">
        <v>0.1</v>
      </c>
      <c r="F110" t="inlineStr">
        <is>
          <t>rate</t>
        </is>
      </c>
      <c r="G110" t="inlineStr">
        <is>
          <t>sourced (Revenue Department English VAT page: statutory rate 10.00 percent)</t>
        </is>
      </c>
      <c r="H110" t="inlineStr">
        <is>
          <t>https://www.rd.go.th/english/37732.html (Revenue Department English VAT page)</t>
        </is>
      </c>
    </row>
    <row r="111">
      <c r="A111" t="inlineStr">
        <is>
          <t>inputs.csv</t>
        </is>
      </c>
      <c r="B111" t="inlineStr">
        <is>
          <t>vat_reduced_rate_2026_2027</t>
        </is>
      </c>
      <c r="C111" t="n">
        <v>0.07000000000000001</v>
      </c>
      <c r="F111" t="inlineStr">
        <is>
          <t>rate, including local tax</t>
        </is>
      </c>
      <c r="G111" t="inlineStr">
        <is>
          <t>sourced (KPMG summary of Royal Decree No. 807: 7 percent including local tax for 1 October 2026 to 30 September 2027; the Royal Gazette text was not read)</t>
        </is>
      </c>
      <c r="H111" t="inlineStr">
        <is>
          <t>KPMG TaxNewsFlash, same article, first paragraph on Royal Decree No. 807. Temporary reduced rate for 1 October 2026 to 30 September 2027. It must be checked again after 30 September 2027.</t>
        </is>
      </c>
    </row>
    <row r="112">
      <c r="A112" t="inlineStr">
        <is>
          <t>inputs.csv</t>
        </is>
      </c>
      <c r="B112" t="inlineStr">
        <is>
          <t>adb_economic_horizon_years_low</t>
        </is>
      </c>
      <c r="C112" t="n">
        <v>20</v>
      </c>
      <c r="F112" t="inlineStr">
        <is>
          <t>years</t>
        </is>
      </c>
      <c r="G112" t="inlineStr">
        <is>
          <t>sourced (ADB 2017; international guidance)</t>
        </is>
      </c>
      <c r="H112" t="inlineStr">
        <is>
          <t>ADB (2017) Guidelines for the Economic Analysis of Projects, printed pages 47 to 48, paragraph 176, https://www.adb.org/sites/default/files/institutional-document/32256/economic-analysis-projects.pdf. Lower bound of the 20 to 30 year range for project flows. International guidance, not a Thai value.</t>
        </is>
      </c>
    </row>
    <row r="113">
      <c r="A113" t="inlineStr">
        <is>
          <t>inputs.csv</t>
        </is>
      </c>
      <c r="B113" t="inlineStr">
        <is>
          <t>adb_economic_horizon_years_high</t>
        </is>
      </c>
      <c r="C113" t="n">
        <v>30</v>
      </c>
      <c r="F113" t="inlineStr">
        <is>
          <t>years</t>
        </is>
      </c>
      <c r="G113" t="inlineStr">
        <is>
          <t>sourced (ADB 2017; international guidance)</t>
        </is>
      </c>
      <c r="H113" t="inlineStr">
        <is>
          <t>ADB (2017) Guidelines for the Economic Analysis of Projects, printed pages 47 to 48, paragraph 176, https://www.adb.org/sites/default/files/institutional-document/32256/economic-analysis-projects.pdf. Upper bound of the 20 to 30 year range. International guidance, not a Thai value.</t>
        </is>
      </c>
    </row>
    <row r="114">
      <c r="A114" t="inlineStr">
        <is>
          <t>inputs.csv</t>
        </is>
      </c>
      <c r="B114" t="inlineStr">
        <is>
          <t>adb_dam_railway_operating_years_low</t>
        </is>
      </c>
      <c r="C114" t="n">
        <v>20</v>
      </c>
      <c r="F114" t="inlineStr">
        <is>
          <t>years</t>
        </is>
      </c>
      <c r="G114" t="inlineStr">
        <is>
          <t>sourced (ADB 2017; asset type dams and railways)</t>
        </is>
      </c>
      <c r="H114" t="inlineStr">
        <is>
          <t>ADB (2017), printed page 64, Appendix 3, paragraph 2, https://www.adb.org/sites/default/files/institutional-document/32256/economic-analysis-projects.pdf. Lower bound of the 20 to 25 year operating life for dams and railways.</t>
        </is>
      </c>
    </row>
    <row r="115">
      <c r="A115" t="inlineStr">
        <is>
          <t>inputs.csv</t>
        </is>
      </c>
      <c r="B115" t="inlineStr">
        <is>
          <t>adb_dam_railway_operating_years_high</t>
        </is>
      </c>
      <c r="C115" t="n">
        <v>25</v>
      </c>
      <c r="F115" t="inlineStr">
        <is>
          <t>years</t>
        </is>
      </c>
      <c r="G115" t="inlineStr">
        <is>
          <t>sourced (ADB 2017; asset type dams and railways)</t>
        </is>
      </c>
      <c r="H115" t="inlineStr">
        <is>
          <t>ADB (2017), printed page 64, Appendix 3, paragraph 2, https://www.adb.org/sites/default/files/institutional-document/32256/economic-analysis-projects.pdf. Upper bound of the 20 to 25 year operating life for dams and railways.</t>
        </is>
      </c>
    </row>
    <row r="116">
      <c r="A116" t="inlineStr">
        <is>
          <t>inputs.csv</t>
        </is>
      </c>
      <c r="B116" t="inlineStr">
        <is>
          <t>adb_irrigation_scheme_life_years</t>
        </is>
      </c>
      <c r="C116" t="n">
        <v>25</v>
      </c>
      <c r="F116" t="inlineStr">
        <is>
          <t>years</t>
        </is>
      </c>
      <c r="G116" t="inlineStr">
        <is>
          <t>sourced (ADB 2017 illustrative case; not a Thai value)</t>
        </is>
      </c>
      <c r="H116" t="inlineStr">
        <is>
          <t>ADB (2017), printed page 126, Appendix 16, https://www.adb.org/sites/default/files/institutional-document/32256/economic-analysis-projects.pdf. Illustrative irrigation case with 25 years of scheme life under normal maintenance.</t>
        </is>
      </c>
    </row>
    <row r="117">
      <c r="A117" t="inlineStr">
        <is>
          <t>inputs.csv</t>
        </is>
      </c>
      <c r="B117" t="inlineStr">
        <is>
          <t>adb_processing_plant_operating_years</t>
        </is>
      </c>
      <c r="C117" t="n">
        <v>20</v>
      </c>
      <c r="F117" t="inlineStr">
        <is>
          <t>years</t>
        </is>
      </c>
      <c r="G117" t="inlineStr">
        <is>
          <t>sourced (ADB 2017 illustrative example; not a benchmark)</t>
        </is>
      </c>
      <c r="H117" t="inlineStr">
        <is>
          <t>ADB (2017), printed page 65, Appendix 3, paragraph 6, https://www.adb.org/sites/default/files/institutional-document/32256/economic-analysis-projects.pdf. Illustrative processing project with 20 years of operation.</t>
        </is>
      </c>
    </row>
    <row r="118">
      <c r="A118" t="inlineStr">
        <is>
          <t>inputs.csv</t>
        </is>
      </c>
      <c r="B118" t="inlineStr">
        <is>
          <t>adb_illustrative_implementation_years</t>
        </is>
      </c>
      <c r="C118" t="n">
        <v>2</v>
      </c>
      <c r="F118" t="inlineStr">
        <is>
          <t>years</t>
        </is>
      </c>
      <c r="G118" t="inlineStr">
        <is>
          <t>sourced (ADB 2017 illustrative example; not a benchmark)</t>
        </is>
      </c>
      <c r="H118" t="inlineStr">
        <is>
          <t>ADB (2017), printed page 65, Appendix 3, paragraph 6, https://www.adb.org/sites/default/files/institutional-document/32256/economic-analysis-projects.pdf. Illustrative processing project with 2 years of implementation.</t>
        </is>
      </c>
    </row>
    <row r="119">
      <c r="A119" t="inlineStr">
        <is>
          <t>inputs.csv</t>
        </is>
      </c>
      <c r="B119" t="inlineStr">
        <is>
          <t>adb_replacement_period_construction_years</t>
        </is>
      </c>
      <c r="C119" t="n">
        <v>30</v>
      </c>
      <c r="F119" t="inlineStr">
        <is>
          <t>years</t>
        </is>
      </c>
      <c r="G119" t="inlineStr">
        <is>
          <t>generalized (ADB 2017 Table A3 construction line, applied to construction works as an international guide)</t>
        </is>
      </c>
      <c r="H119" t="inlineStr">
        <is>
          <t>ADB (2017), printed page 67, Table A3, construction line of the illustrative project statement, https://www.adb.org/sites/default/files/institutional-document/32256/economic-analysis-projects.pdf.</t>
        </is>
      </c>
    </row>
    <row r="120">
      <c r="A120" t="inlineStr">
        <is>
          <t>inputs.csv</t>
        </is>
      </c>
      <c r="B120" t="inlineStr">
        <is>
          <t>adb_replacement_period_equipment_years</t>
        </is>
      </c>
      <c r="C120" t="n">
        <v>12</v>
      </c>
      <c r="F120" t="inlineStr">
        <is>
          <t>years</t>
        </is>
      </c>
      <c r="G120" t="inlineStr">
        <is>
          <t>sourced (ADB 2017 illustrative example; not a Thai value)</t>
        </is>
      </c>
      <c r="H120" t="inlineStr">
        <is>
          <t>ADB (2017), printed page 67, Table A3, equipment line of the illustrative project statement, https://www.adb.org/sites/default/files/institutional-document/32256/economic-analysis-projects.pdf.</t>
        </is>
      </c>
    </row>
    <row r="121">
      <c r="A121" t="inlineStr">
        <is>
          <t>inputs.csv</t>
        </is>
      </c>
      <c r="B121" t="inlineStr">
        <is>
          <t>adb_replacement_period_vehicles_years</t>
        </is>
      </c>
      <c r="C121" t="n">
        <v>5</v>
      </c>
      <c r="F121" t="inlineStr">
        <is>
          <t>years</t>
        </is>
      </c>
      <c r="G121" t="inlineStr">
        <is>
          <t>sourced (ADB 2017 illustrative example; not a Thai value)</t>
        </is>
      </c>
      <c r="H121" t="inlineStr">
        <is>
          <t>ADB (2017), printed page 67, Table A3, vehicles line of the illustrative project statement, https://www.adb.org/sites/default/files/institutional-document/32256/economic-analysis-projects.pdf.</t>
        </is>
      </c>
    </row>
    <row r="122">
      <c r="A122" t="inlineStr">
        <is>
          <t>inputs.csv</t>
        </is>
      </c>
      <c r="B122" t="inlineStr">
        <is>
          <t>adb_working_life_sensitivity_years</t>
        </is>
      </c>
      <c r="C122" t="n">
        <v>5</v>
      </c>
      <c r="F122" t="inlineStr">
        <is>
          <t>years</t>
        </is>
      </c>
      <c r="G122" t="inlineStr">
        <is>
          <t>sourced (ADB 2017 sensitivity test; not a base-case life)</t>
        </is>
      </c>
      <c r="H122" t="inlineStr">
        <is>
          <t>ADB (2017), printed pages 142 and 143, Appendix 19, https://www.adb.org/sites/default/files/institutional-document/32256/economic-analysis-projects.pdf. Five year cut in operating or working life used as a sensitivity test.</t>
        </is>
      </c>
    </row>
    <row r="123">
      <c r="A123" t="inlineStr">
        <is>
          <t>inputs.csv</t>
        </is>
      </c>
      <c r="B123" t="inlineStr">
        <is>
          <t>adb_gas_deposit_resource_life_years</t>
        </is>
      </c>
      <c r="C123" t="n">
        <v>15</v>
      </c>
      <c r="F123" t="inlineStr">
        <is>
          <t>years</t>
        </is>
      </c>
      <c r="G123" t="inlineStr">
        <is>
          <t>sourced (ADB 2017 illustrative resource life; not used)</t>
        </is>
      </c>
      <c r="H123" t="inlineStr">
        <is>
          <t>ADB (2017), printed page 98, Table A10, https://www.adb.org/sites/default/files/institutional-document/32256/economic-analysis-projects.pdf. Illustrative gas deposit with 15 years to exhaustion. A resource life, not an asset life, and not used in the model.</t>
        </is>
      </c>
    </row>
    <row r="124">
      <c r="A124" t="inlineStr">
        <is>
          <t>inputs.csv</t>
        </is>
      </c>
      <c r="B124" t="inlineStr">
        <is>
          <t>adb_shadow_exchange_rate_factor_illustrative</t>
        </is>
      </c>
      <c r="C124" t="n">
        <v>1.33</v>
      </c>
      <c r="F124" t="inlineStr">
        <is>
          <t>ratio</t>
        </is>
      </c>
      <c r="G124" t="inlineStr">
        <is>
          <t>sourced (ADB 2017 illustrative case; not a Thai value)</t>
        </is>
      </c>
      <c r="H124" t="inlineStr">
        <is>
          <t>ADB (2017), printed pages 126 and 128, Table A16.2, irrigation case, https://www.adb.org/sites/default/files/institutional-document/32256/economic-analysis-projects.pdf.</t>
        </is>
      </c>
    </row>
    <row r="125">
      <c r="A125" t="inlineStr">
        <is>
          <t>inputs.csv</t>
        </is>
      </c>
      <c r="B125" t="inlineStr">
        <is>
          <t>adb_shadow_wage_rate_factor_illustrative</t>
        </is>
      </c>
      <c r="C125" t="n">
        <v>0.8</v>
      </c>
      <c r="F125" t="inlineStr">
        <is>
          <t>ratio</t>
        </is>
      </c>
      <c r="G125" t="inlineStr">
        <is>
          <t>sourced (ADB 2017 illustrative case; not a Thai value)</t>
        </is>
      </c>
      <c r="H125" t="inlineStr">
        <is>
          <t>ADB (2017), printed page 90, Table A8, https://www.adb.org/sites/default/files/institutional-document/32256/economic-analysis-projects.pdf.</t>
        </is>
      </c>
    </row>
    <row r="126">
      <c r="A126" t="inlineStr">
        <is>
          <t>inputs.csv</t>
        </is>
      </c>
      <c r="B126" t="inlineStr">
        <is>
          <t>nesdc_social_discount_rate_range_low</t>
        </is>
      </c>
      <c r="C126" t="n">
        <v>0.0655</v>
      </c>
      <c r="F126" t="inlineStr">
        <is>
          <t>rate</t>
        </is>
      </c>
      <c r="G126" t="inlineStr">
        <is>
          <t>sourced (NESDC 2024)</t>
        </is>
      </c>
      <c r="H126" t="inlineStr">
        <is>
          <t>NESDC (2024) Guide to Public Investment Project Appraisal, section 6.2.1, PDF page 26, https://www.nesdc.go.th/wp-content/uploads/2025/05/article_20241009124821.pdf. Lower bound of the Thai social discount rate range, from a NESDC and World Bank study (2021).</t>
        </is>
      </c>
    </row>
    <row r="127">
      <c r="A127" t="inlineStr">
        <is>
          <t>inputs.csv</t>
        </is>
      </c>
      <c r="B127" t="inlineStr">
        <is>
          <t>nesdc_social_discount_rate_range_high</t>
        </is>
      </c>
      <c r="C127" t="n">
        <v>0.0759</v>
      </c>
      <c r="F127" t="inlineStr">
        <is>
          <t>rate</t>
        </is>
      </c>
      <c r="G127" t="inlineStr">
        <is>
          <t>sourced (NESDC 2024)</t>
        </is>
      </c>
      <c r="H127" t="inlineStr">
        <is>
          <t>NESDC (2024) Guide to Public Investment Project Appraisal, section 6.2.1, PDF page 26, https://www.nesdc.go.th/wp-content/uploads/2025/05/article_20241009124821.pdf. Upper bound of the Thai social discount rate range.</t>
        </is>
      </c>
    </row>
    <row r="128">
      <c r="A128" t="inlineStr">
        <is>
          <t>inputs.csv</t>
        </is>
      </c>
      <c r="B128" t="inlineStr">
        <is>
          <t>nesdc_permanent_asset_threshold_years</t>
        </is>
      </c>
      <c r="C128" t="n">
        <v>1</v>
      </c>
      <c r="F128" t="inlineStr">
        <is>
          <t>years</t>
        </is>
      </c>
      <c r="G128" t="inlineStr">
        <is>
          <t>sourced (NESDC 2024 definition)</t>
        </is>
      </c>
      <c r="H128" t="inlineStr">
        <is>
          <t>NESDC (2024) Guide to Public Investment Project Appraisal, definition of a permanent asset, PDF pages 58 and 64, https://www.nesdc.go.th/wp-content/uploads/2025/05/article_20241009124821.pdf. A permanent asset has a useful life longer than one year.</t>
        </is>
      </c>
    </row>
    <row r="129">
      <c r="A129" t="inlineStr">
        <is>
          <t>inputs.csv</t>
        </is>
      </c>
      <c r="B129" t="inlineStr">
        <is>
          <t>tourism_asset_life_years</t>
        </is>
      </c>
      <c r="C129" t="n">
        <v>20</v>
      </c>
      <c r="F129" t="inlineStr">
        <is>
          <t>years</t>
        </is>
      </c>
      <c r="G129" t="inlineStr">
        <is>
          <t>team decision (confirmed by the leader on 14 October 2026): labelled assumption; not sourced; set equal to the base project life</t>
        </is>
      </c>
      <c r="H129" t="inlineStr">
        <is>
          <t>assumptions.csv project_life_years (team decision; ADB 2017 gives no tourism-specific life)</t>
        </is>
      </c>
    </row>
    <row r="130">
      <c r="A130" t="inlineStr">
        <is>
          <t>inputs.csv</t>
        </is>
      </c>
      <c r="B130" t="inlineStr">
        <is>
          <t>asset_useful_life_by_type_nesdc_years</t>
        </is>
      </c>
      <c r="C130" t="n">
        <v>20</v>
      </c>
      <c r="F130" t="inlineStr">
        <is>
          <t>years</t>
        </is>
      </c>
      <c r="G130" t="inlineStr">
        <is>
          <t>derived: buildings at the Revenue Department rate of 5 percent of cost a year, straight line, give 20 years; the rate is a tax rate, not a useful life</t>
        </is>
      </c>
      <c r="H130" t="inlineStr">
        <is>
          <t>https://www.rd.go.th/english/6044.html (Revenue Department tax depreciation rates)</t>
        </is>
      </c>
    </row>
    <row r="131">
      <c r="A131" t="inlineStr">
        <is>
          <t>inputs.csv</t>
        </is>
      </c>
      <c r="B131" t="inlineStr">
        <is>
          <t>intl_arrivals_2021</t>
        </is>
      </c>
      <c r="C131" t="n">
        <v>428000</v>
      </c>
      <c r="F131" t="inlineStr">
        <is>
          <t>persons</t>
        </is>
      </c>
      <c r="G131" t="inlineStr">
        <is>
          <t>sourced (NSO Thai Economic Indicators 2025, Table 8.1, international tourist arrivals 2021)</t>
        </is>
      </c>
      <c r="H131" t="inlineStr">
        <is>
          <t>https://www.nso.go.th/public/e-book/Indicators-Economic/Thai_Economic_Indicators_2025/158, Table 8.1, 2021</t>
        </is>
      </c>
    </row>
    <row r="132">
      <c r="A132" t="inlineStr">
        <is>
          <t>inputs.csv</t>
        </is>
      </c>
      <c r="B132" t="inlineStr">
        <is>
          <t>intl_arrivals_2022</t>
        </is>
      </c>
      <c r="C132" t="n">
        <v>11153000</v>
      </c>
      <c r="F132" t="inlineStr">
        <is>
          <t>persons</t>
        </is>
      </c>
      <c r="G132" t="inlineStr">
        <is>
          <t>sourced (NSO Thai Economic Indicators 2025, Table 8.1, international tourist arrivals 2022)</t>
        </is>
      </c>
      <c r="H132" t="inlineStr">
        <is>
          <t>https://www.nso.go.th/public/e-book/Indicators-Economic/Thai_Economic_Indicators_2025/158, Table 8.1, 2022</t>
        </is>
      </c>
    </row>
    <row r="133">
      <c r="A133" t="inlineStr">
        <is>
          <t>inputs.csv</t>
        </is>
      </c>
      <c r="B133" t="inlineStr">
        <is>
          <t>intl_arrivals_2023</t>
        </is>
      </c>
      <c r="C133" t="n">
        <v>28150000</v>
      </c>
      <c r="F133" t="inlineStr">
        <is>
          <t>persons</t>
        </is>
      </c>
      <c r="G133" t="inlineStr">
        <is>
          <t>sourced (NSO Thai Economic Indicators 2025, Table 8.1, international tourist arrivals 2023)</t>
        </is>
      </c>
      <c r="H133" t="inlineStr">
        <is>
          <t>https://www.nso.go.th/public/e-book/Indicators-Economic/Thai_Economic_Indicators_2025/158, Table 8.1, 2023</t>
        </is>
      </c>
    </row>
    <row r="134">
      <c r="A134" t="inlineStr">
        <is>
          <t>inputs.csv</t>
        </is>
      </c>
      <c r="B134" t="inlineStr">
        <is>
          <t>intl_avg_length_of_stay_2017_days</t>
        </is>
      </c>
      <c r="C134" t="n">
        <v>9.5</v>
      </c>
      <c r="F134" t="inlineStr">
        <is>
          <t>days</t>
        </is>
      </c>
      <c r="G134" t="inlineStr">
        <is>
          <t>sourced (NSO Indicators Economic 2562, Table 8.1, average length of stay of international tourists 2017)</t>
        </is>
      </c>
      <c r="H134" t="inlineStr">
        <is>
          <t>https://www.nso.go.th/public/e-book/Indicators-Economic/Indicators-Economic-2562/files/assets/basic-html/page134.html, Table 8.1 (printed page 107), international block, 2017</t>
        </is>
      </c>
    </row>
    <row r="135">
      <c r="A135" t="inlineStr">
        <is>
          <t>inputs.csv</t>
        </is>
      </c>
      <c r="B135" t="inlineStr">
        <is>
          <t>hk_disneyland_costs_and_expenses_fy2025_hkd_m</t>
        </is>
      </c>
      <c r="C135" t="n">
        <v>6705</v>
      </c>
      <c r="F135" t="inlineStr">
        <is>
          <t>HK$ million</t>
        </is>
      </c>
      <c r="G135" t="inlineStr">
        <is>
          <t>sourced (Hong Kong Disneyland Annual Business Review FY2025: costs and expenses 6,705 before depreciation and amortisation of 1,455; no profit tax line in the accounts)</t>
        </is>
      </c>
      <c r="H135" t="inlineStr">
        <is>
          <t>Hong Kong Disneyland Annual Business Review FY2025, key financial results table (printed p.8), https://hkcorporate.hongkongdisneyland.com/pdf/AnnualBusinessReview25.pdf; costs and expenses before depreciation and amortisation (note 18)</t>
        </is>
      </c>
    </row>
    <row r="136">
      <c r="A136" t="inlineStr">
        <is>
          <t>inputs.csv</t>
        </is>
      </c>
      <c r="B136" t="inlineStr">
        <is>
          <t>hk_disneyland_depreciation_fy2025_hkd_m</t>
        </is>
      </c>
      <c r="C136" t="n">
        <v>1455</v>
      </c>
      <c r="F136" t="inlineStr">
        <is>
          <t>HK$ million</t>
        </is>
      </c>
      <c r="G136" t="inlineStr">
        <is>
          <t>sourced (Hong Kong Disneyland Annual Business Review FY2025: depreciation and amortisation 1,455)</t>
        </is>
      </c>
      <c r="H136" t="inlineStr">
        <is>
          <t>Hong Kong Disneyland Annual Business Review FY2025, key financial results table (printed p.8) and note 19</t>
        </is>
      </c>
    </row>
    <row r="137">
      <c r="A137" t="inlineStr">
        <is>
          <t>inputs.csv</t>
        </is>
      </c>
      <c r="B137" t="inlineStr">
        <is>
          <t>hk_disneyland_noncurrent_assets_fy2025_hkd_m</t>
        </is>
      </c>
      <c r="C137" t="n">
        <v>18396</v>
      </c>
      <c r="F137" t="inlineStr">
        <is>
          <t>HK$ million</t>
        </is>
      </c>
      <c r="G137" t="inlineStr">
        <is>
          <t>sourced (Hong Kong Disneyland Annual Business Review FY2025: non-current assets, property, plant and equipment and leased land, net)</t>
        </is>
      </c>
      <c r="H137" t="inlineStr">
        <is>
          <t>Hong Kong Disneyland Annual Business Review FY2025, balance sheet summary (printed p.8) and note 23</t>
        </is>
      </c>
    </row>
    <row r="138">
      <c r="A138" t="inlineStr">
        <is>
          <t>inputs.csv</t>
        </is>
      </c>
      <c r="B138" t="inlineStr">
        <is>
          <t>hk_disneyland_hotel_rooms_fy2025</t>
        </is>
      </c>
      <c r="C138" t="n">
        <v>1750</v>
      </c>
      <c r="F138" t="inlineStr">
        <is>
          <t>rooms</t>
        </is>
      </c>
      <c r="G138" t="inlineStr">
        <is>
          <t>sourced (Hong Kong Disneyland Annual Business Review FY2025: three themed hotels with 1,750 rooms)</t>
        </is>
      </c>
      <c r="H138" t="inlineStr">
        <is>
          <t>Hong Kong Disneyland Annual Business Review FY2025, operational highlights, paragraph 9</t>
        </is>
      </c>
    </row>
    <row r="139">
      <c r="A139" t="inlineStr">
        <is>
          <t>inputs.csv</t>
        </is>
      </c>
      <c r="B139" t="inlineStr">
        <is>
          <t>hk_disneyland_hotel_occupancy_fy2025</t>
        </is>
      </c>
      <c r="C139" t="n">
        <v>0.79</v>
      </c>
      <c r="F139" t="inlineStr">
        <is>
          <t>share</t>
        </is>
      </c>
      <c r="G139" t="inlineStr">
        <is>
          <t>sourced (Hong Kong Disneyland Annual Business Review FY2025: overall hotel occupancy 79%)</t>
        </is>
      </c>
      <c r="H139" t="inlineStr">
        <is>
          <t>Hong Kong Disneyland Annual Business Review FY2025, key revenue drivers table</t>
        </is>
      </c>
    </row>
    <row r="140">
      <c r="A140" t="inlineStr">
        <is>
          <t>inputs.csv</t>
        </is>
      </c>
      <c r="B140" t="inlineStr">
        <is>
          <t>bot_hkd_thb_mid_rate_19oct2026</t>
        </is>
      </c>
      <c r="C140" t="n">
        <v>4.2694</v>
      </c>
      <c r="F140" t="inlineStr">
        <is>
          <t>THB per HKD</t>
        </is>
      </c>
      <c r="G140" t="inlineStr">
        <is>
          <t>sourced (Bank of Thailand mid rate for the Hong Kong dollar, 19 October 2026; used for comparison only)</t>
        </is>
      </c>
      <c r="H140" t="inlineStr">
        <is>
          <t>Bank of Thailand, commercial bank exchange rates (FM_FX_001_S3), Hong Kong dollar mid rate, https://app.bot.or.th/BTWS_STAT/statistics/BOTWEBSTAT.aspx?reportID=123&amp;language=ENG, 19 October 2026</t>
        </is>
      </c>
    </row>
    <row r="141">
      <c r="A141" t="inlineStr">
        <is>
          <t>inputs.csv</t>
        </is>
      </c>
      <c r="B141" t="inlineStr">
        <is>
          <t>cbre_pattaya_adr_h2_2025_thb</t>
        </is>
      </c>
      <c r="C141" t="n">
        <v>3449</v>
      </c>
      <c r="F141" t="inlineStr">
        <is>
          <t>THB per room night</t>
        </is>
      </c>
      <c r="G141" t="inlineStr">
        <is>
          <t>sourced (secondary: CBRE broker data, H2 2025 average daily rate, asking rates for mid-range and above hotels; not an official source)</t>
        </is>
      </c>
      <c r="H141" t="inlineStr">
        <is>
          <t>CBRE, Pattaya Overall Figures H2 2025, https://mktgdocs.cbre.com/2299/175bc843-73b5-4940-a859-14bd0f57a6a1-1295998069/Pattaya-Overall-Figures-H2-202.pdf (average daily rate)</t>
        </is>
      </c>
    </row>
    <row r="142">
      <c r="A142" t="inlineStr">
        <is>
          <t>inputs.csv</t>
        </is>
      </c>
      <c r="B142" t="inlineStr">
        <is>
          <t>cbre_pattaya_occupancy_h2_2025</t>
        </is>
      </c>
      <c r="C142" t="n">
        <v>0.655</v>
      </c>
      <c r="F142" t="inlineStr">
        <is>
          <t>share</t>
        </is>
      </c>
      <c r="G142" t="inlineStr">
        <is>
          <t>sourced (secondary: CBRE broker data, H2 2025 occupancy 65.5%; not an official source)</t>
        </is>
      </c>
      <c r="H142" t="inlineStr">
        <is>
          <t>CBRE, Pattaya Overall Figures H2 2025, https://mktgdocs.cbre.com/2299/175bc843-73b5-4940-a859-14bd0f57a6a1-1295998069/Pattaya-Overall-Figures-H2-202.pdf (occupancy)</t>
        </is>
      </c>
    </row>
    <row r="143">
      <c r="A143" t="inlineStr">
        <is>
          <t>assumptions.csv</t>
        </is>
      </c>
      <c r="B143" t="inlineStr">
        <is>
          <t>project_life_years</t>
        </is>
      </c>
      <c r="C143" t="n">
        <v>20</v>
      </c>
      <c r="D143" t="n">
        <v>20</v>
      </c>
      <c r="E143" t="n">
        <v>25</v>
      </c>
      <c r="F143" t="inlineStr">
        <is>
          <t>years</t>
        </is>
      </c>
      <c r="G143" t="inlineStr">
        <is>
          <t>assumption (team recommendation adopted; anchored to sourced ranges; not sourced as a Thai value; confirmed by the team on 19 October 2026)</t>
        </is>
      </c>
      <c r="H143" t="inlineStr">
        <is>
          <t>Team recommendation adopted on the leader's instruction. Base 20 years: the Revenue Department tax depreciation rate for durable buildings is 5 percent of cost a year (input row asset_useful_life_by_type_nesdc_years), which corresponds to 20 years for the building component. That is a tax rate, not an economic life. Low 20 is the lower bound of the ADB (2017) horizon of 20 to 30 years (input rows adb_economic_horizon_years_low and _high). High 25 is the upper bound of the ADB operating life for dams and railways of 20 to 25 years (input rows adb_dam_railway_operating_years_low and _high).</t>
        </is>
      </c>
    </row>
    <row r="144">
      <c r="A144" t="inlineStr">
        <is>
          <t>assumptions.csv</t>
        </is>
      </c>
      <c r="B144" t="inlineStr">
        <is>
          <t>construction_years</t>
        </is>
      </c>
      <c r="C144" t="n">
        <v>2</v>
      </c>
      <c r="D144" t="n">
        <v>3</v>
      </c>
      <c r="E144" t="n">
        <v>2</v>
      </c>
      <c r="F144" t="inlineStr">
        <is>
          <t>years</t>
        </is>
      </c>
      <c r="G144" t="inlineStr">
        <is>
          <t>generalized (ADB 2017 illustrative 2-year implementation period; confirmed by the team on 19 October 2026)</t>
        </is>
      </c>
      <c r="H144" t="inlineStr">
        <is>
          <t>Base and high use the ADB (2017) illustrative implementation period of 2 years (input row adb_illustrative_implementation_years). The low case adds one year for a complex of this size. That step is a judgement and is not sourced.</t>
        </is>
      </c>
    </row>
    <row r="145">
      <c r="A145" t="inlineStr">
        <is>
          <t>assumptions.csv</t>
        </is>
      </c>
      <c r="B145" t="inlineStr">
        <is>
          <t>wacc_financial</t>
        </is>
      </c>
      <c r="C145" t="n">
        <v>0.08</v>
      </c>
      <c r="D145" t="n">
        <v>0.1</v>
      </c>
      <c r="E145" t="n">
        <v>0.07000000000000001</v>
      </c>
      <c r="F145" t="inlineStr">
        <is>
          <t>rate</t>
        </is>
      </c>
      <c r="G145" t="inlineStr">
        <is>
          <t>assumption (team recommendation adopted; not sourced; confirmed by the team on 19 October 2026)</t>
        </is>
      </c>
      <c r="H145" t="inlineStr">
        <is>
          <t>Team recommendation adopted on the leader's instruction. Base 0.08 is the NESDC (2024) social discount rate of 7 percent plus one point for operator risk. No financial rate for a Thai theme park was found in the sources, so this is an assumption. Low 0.10 is two points above the base for a more pessimistic operator. High 0.07 equals the NESDC social rate. The ADB (2017) standard EIRR of 0.09 (input row discount_rate_eirr_standard) is an economic hurdle and is not used. The Thai 10-year government bond yield of 2.32 percent (input row thailand_10y_government_bond_yield_2026_10_14) is a floor reference and is not a WACC.</t>
        </is>
      </c>
    </row>
    <row r="146">
      <c r="A146" t="inlineStr">
        <is>
          <t>assumptions.csv</t>
        </is>
      </c>
      <c r="B146" t="inlineStr">
        <is>
          <t>attendance_million_per_year</t>
        </is>
      </c>
      <c r="C146" t="n">
        <v>7.5</v>
      </c>
      <c r="D146" t="n">
        <v>3.46</v>
      </c>
      <c r="E146" t="n">
        <v>14.7</v>
      </c>
      <c r="F146" t="inlineStr">
        <is>
          <t>million visits per year</t>
        </is>
      </c>
      <c r="G146" t="inlineStr">
        <is>
          <t>generalized (Hong Kong Disneyland FY2025 base; Ocean Park FY2024/25 low; Shanghai Disneyland 2024 high; confirmed by the team on 19 October 2026)</t>
        </is>
      </c>
      <c r="H146" t="inlineStr">
        <is>
          <t>Team recommendation adopted: the working value is kept. The base is the Hong Kong Disneyland FY2025 attendance reported by the operator (input row hk_disneyland_attendance_fy2025). Base is Hong Kong Disneyland attendance in fiscal 2025 (input row hk_disneyland_attendance_fy2025). Low is Ocean Park attendance in fiscal 2024/25 (input row ocean_park_attendance_fy2024_25). High is Shanghai Disneyland attendance in 2024 (input row shanghai_disneyland_attendance_2024_million), which is a TEA estimate. These parks are comparables and not the Thai complex. The demand study has not reported.</t>
        </is>
      </c>
    </row>
    <row r="147">
      <c r="A147" t="inlineStr">
        <is>
          <t>assumptions.csv</t>
        </is>
      </c>
      <c r="B147" t="inlineStr">
        <is>
          <t>international_share</t>
        </is>
      </c>
      <c r="C147" t="n">
        <v>0.59</v>
      </c>
      <c r="D147" t="n">
        <v>0.36</v>
      </c>
      <c r="E147" t="n">
        <v>0.75</v>
      </c>
      <c r="F147" t="inlineStr">
        <is>
          <t>share of attendance</t>
        </is>
      </c>
      <c r="G147" t="inlineStr">
        <is>
          <t>generalized (Hong Kong Disneyland FY2019 base, itself unconfirmed; low is an assumed value after an unconfirmed Ocean Park anchor; high not anchored; confirmed by the team on 19 October 2026)</t>
        </is>
      </c>
      <c r="H147" t="inlineStr">
        <is>
          <t>Base is the share of Hong Kong Disneyland visitors who are not local residents in fiscal 2019, 59 percent, which is 100 minus the 41 percent local share (input row hk_disneyland_visitor_share_local_fy2019; a copy on a secondary blog, not confirmed). Low 0.36 is an assumed value. It was once taken as the Ocean Park non-local share in fiscal 2024/25 (1.25 of 3.46 million), but that count is not confirmed (input row ocean_park_non_local_visitors_fy2024_25 is pending). High is not anchored and is an assumed 75 percent. The non-local count includes mainland visitors, which the model treats as international visitors.</t>
        </is>
      </c>
    </row>
    <row r="148">
      <c r="A148" t="inlineStr">
        <is>
          <t>assumptions.csv</t>
        </is>
      </c>
      <c r="B148" t="inlineStr">
        <is>
          <t>incremental_share</t>
        </is>
      </c>
      <c r="C148" t="n">
        <v>0.3</v>
      </c>
      <c r="D148" t="n">
        <v>0.1</v>
      </c>
      <c r="E148" t="n">
        <v>0.5</v>
      </c>
      <c r="F148" t="inlineStr">
        <is>
          <t>share</t>
        </is>
      </c>
      <c r="G148" t="inlineStr">
        <is>
          <t>assumption (labelled grid; not sourced; confirmed by the team on 19 October 2026)</t>
        </is>
      </c>
      <c r="H148" t="inlineStr">
        <is>
          <t>Team recommendation adopted: the working value is kept. No source exists; the labelled range is the sensitivity. No comparable value in the project sources. Share of international visits that are new to Thailand or to its tourism spending. Placeholder for the segment study.</t>
        </is>
      </c>
    </row>
    <row r="149">
      <c r="A149" t="inlineStr">
        <is>
          <t>assumptions.csv</t>
        </is>
      </c>
      <c r="B149" t="inlineStr">
        <is>
          <t>displacement_share</t>
        </is>
      </c>
      <c r="C149" t="n">
        <v>0.3</v>
      </c>
      <c r="D149" t="n">
        <v>0.5</v>
      </c>
      <c r="E149" t="n">
        <v>0.1</v>
      </c>
      <c r="F149" t="inlineStr">
        <is>
          <t>share</t>
        </is>
      </c>
      <c r="G149" t="inlineStr">
        <is>
          <t>assumption (labelled grid; not sourced; confirmed by the team on 19 October 2026)</t>
        </is>
      </c>
      <c r="H149" t="inlineStr">
        <is>
          <t>Team recommendation adopted: the working value is kept. No source exists; the labelled range is the sensitivity. Share of gross spending moved from other Thai destinations or activities. The low case is the highest displacement. No source in the project sources. Placeholder for the segment study.</t>
        </is>
      </c>
    </row>
    <row r="150">
      <c r="A150" t="inlineStr">
        <is>
          <t>assumptions.csv</t>
        </is>
      </c>
      <c r="B150" t="inlineStr">
        <is>
          <t>spend_per_visit_thb</t>
        </is>
      </c>
      <c r="C150" t="n">
        <v>10000</v>
      </c>
      <c r="D150" t="n">
        <v>1862</v>
      </c>
      <c r="E150" t="n">
        <v>20000</v>
      </c>
      <c r="F150" t="inlineStr">
        <is>
          <t>THB per incremental visit</t>
        </is>
      </c>
      <c r="G150" t="inlineStr">
        <is>
          <t>assumption (labelled grid; low case from a sourced on-site benchmark and the Bank of Thailand yen rate of 12 October 2026; confirmed by the team on 19 October 2026)</t>
        </is>
      </c>
      <c r="H150" t="inlineStr">
        <is>
          <t>Team decisions adopted for the base and high cases: the labelled placeholders of 10,000 and 20,000 THB are kept. The low case is the sourced on-site benchmark: Oriental Land's Tokyo Disney Resort per-guest merchandise (5,227 yen) and food and beverage (3,569 yen) sales for FY3/2026, 8,796 yen in total, converted at 0.211734 THB per yen, the Bank of Thailand JPY mid rate for 12 October 2026 (21.1734 THB per 100 yen), the same date as the dollar reference rate in the input table. The benchmark measures on-site spending only, so it is a floor for incremental visitors and not a base. The per-trip figures (TAT 2023 at 50,900 THB; MoTS 2019 at 48,580 THB) are per trip, not per park visit, and are not used. Values are labelled assumptions for the spending study.</t>
        </is>
      </c>
    </row>
    <row r="151">
      <c r="A151" t="inlineStr">
        <is>
          <t>assumptions.csv</t>
        </is>
      </c>
      <c r="B151" t="inlineStr">
        <is>
          <t>domestic_retention_share</t>
        </is>
      </c>
      <c r="C151" t="n">
        <v>0.5</v>
      </c>
      <c r="D151" t="n">
        <v>0.3</v>
      </c>
      <c r="E151" t="n">
        <v>0.7</v>
      </c>
      <c r="F151" t="inlineStr">
        <is>
          <t>share</t>
        </is>
      </c>
      <c r="G151" t="inlineStr">
        <is>
          <t>assumption (labelled grid; not sourced; confirmed by the team on 19 October 2026)</t>
        </is>
      </c>
      <c r="H151" t="inlineStr">
        <is>
          <t>Team recommendation adopted: the working value is kept. No source exists; the labelled range is the sensitivity. Share of net spending that stays in the Thai economy after imports and leakage. Placeholder for the economic study.</t>
        </is>
      </c>
    </row>
    <row r="152">
      <c r="A152" t="inlineStr">
        <is>
          <t>assumptions.csv</t>
        </is>
      </c>
      <c r="B152" t="inlineStr">
        <is>
          <t>tax_share_of_spend</t>
        </is>
      </c>
      <c r="C152" t="n">
        <v>0.06542100000000001</v>
      </c>
      <c r="D152" t="n">
        <v>0</v>
      </c>
      <c r="E152" t="n">
        <v>0.090909</v>
      </c>
      <c r="F152" t="inlineStr">
        <is>
          <t>share of net spending</t>
        </is>
      </c>
      <c r="G152" t="inlineStr">
        <is>
          <t>assumption (labelled grid; not sourced; confirmed by the team on 19 October 2026)</t>
        </is>
      </c>
      <c r="H152" t="inlineStr">
        <is>
          <t>The tax base is not documented, so this is a placeholder. Base is 7 divided by 107, the tax-inclusive share of spending at the reduced 7 percent VAT rate in force from 1 October 2026 (input row vat_reduced_rate_2026_2027). High is 10 divided by 110, at the statutory 10 percent rate (input row vat_statutory_rate). Low captures no tax.</t>
        </is>
      </c>
    </row>
    <row r="153">
      <c r="A153" t="inlineStr">
        <is>
          <t>assumptions.csv</t>
        </is>
      </c>
      <c r="B153" t="inlineStr">
        <is>
          <t>opex_share</t>
        </is>
      </c>
      <c r="C153" t="n">
        <v>0.9383</v>
      </c>
      <c r="D153" t="n">
        <v>1.2146</v>
      </c>
      <c r="E153" t="n">
        <v>0.7</v>
      </c>
      <c r="F153" t="inlineStr">
        <is>
          <t>ratio of revenue</t>
        </is>
      </c>
      <c r="G153" t="inlineStr">
        <is>
          <t>generalized (Hong Kong Disneyland FY2025 base; Ocean Park FY2024/25 low; high not anchored; confirmed by the team on 19 October 2026)</t>
        </is>
      </c>
      <c r="H153" t="inlineStr">
        <is>
          <t>Base is Hong Kong Disneyland fiscal 2025 costs as a share of revenue: (8694 minus 536) divided by 8694, which is 0.9383. Low is Ocean Park fiscal 2024/25 costs as a share of revenue: (1280 plus 274.7) divided by 1280, which is 1.2146, using the press revenue of HK$1.28 billion. High is not anchored and is an assumed 0.70. Both anchors are total costs implied by net profit or loss. They include depreciation, financing and tax. Depreciation is included by the leader's decision, so the anchors are total costs as implied by net profit or loss and are not restated to cash operating cost. The overlap with the capital cost in the operator ledger, and in the national ledger, is kept, which makes the operating results pessimistic.</t>
        </is>
      </c>
    </row>
    <row r="154">
      <c r="A154" t="inlineStr">
        <is>
          <t>assumptions.csv</t>
        </is>
      </c>
      <c r="B154" t="inlineStr">
        <is>
          <t>ticket_revenue_per_visit_thb</t>
        </is>
      </c>
      <c r="C154" t="n">
        <v>2877</v>
      </c>
      <c r="D154" t="n">
        <v>2158</v>
      </c>
      <c r="E154" t="n">
        <v>4038</v>
      </c>
      <c r="F154" t="inlineStr">
        <is>
          <t>THB per visit</t>
        </is>
      </c>
      <c r="G154" t="inlineStr">
        <is>
          <t>generalized (Hong Kong Disneyland adult prices at an assumed exchange rate; low is a grid discount; confirmed by the team on 19 October 2026)</t>
        </is>
      </c>
      <c r="H154" t="inlineStr">
        <is>
          <t>Base is the Hong Kong Disneyland adult Tier 1 ticket of HK$669 (input row hk_disneyland_adult_ticket_tier1_hkd), converted at 4.3 baht per Hong Kong dollar. The rate is the Bank of Thailand reference rate of 33.52 baht per US dollar on 12 October 2026 (input row exchange_rate_thb_per_usd) divided by an assumed 7.8 Hong Kong dollars per US dollar. High is the Tier 4 peak adult ticket of HK$939 (input row hk_disneyland_adult_ticket_tier4_peak_hkd) at the same rate. Low is 25 percent below the base for discounts and resident or child pricing, a grid choice. Adult list prices are an upper reference for average revenue per visit.</t>
        </is>
      </c>
    </row>
    <row r="155">
      <c r="A155" t="inlineStr">
        <is>
          <t>assumptions.csv</t>
        </is>
      </c>
      <c r="B155" t="inlineStr">
        <is>
          <t>nights_per_stay</t>
        </is>
      </c>
      <c r="C155" t="n">
        <v>10.66</v>
      </c>
      <c r="D155" t="n">
        <v>12</v>
      </c>
      <c r="E155" t="n">
        <v>5</v>
      </c>
      <c r="F155" t="inlineStr">
        <is>
          <t>nights</t>
        </is>
      </c>
      <c r="G155" t="inlineStr">
        <is>
          <t>assumption (labelled grid; not sourced; confirmed by the team on 19 October 2026)</t>
        </is>
      </c>
      <c r="H155" t="inlineStr">
        <is>
          <t>Base 10.66 nights is an unsourced placeholder. No fetched source was located for it, and no input row backs it. High is an assumed 5 nights. Low is an assumed 12 nights. The accommodation cap is inversely proportional to this value.</t>
        </is>
      </c>
    </row>
    <row r="156">
      <c r="A156" t="inlineStr">
        <is>
          <t>assumptions.csv</t>
        </is>
      </c>
      <c r="B156" t="inlineStr">
        <is>
          <t>guests_per_room</t>
        </is>
      </c>
      <c r="C156" t="n">
        <v>2</v>
      </c>
      <c r="D156" t="n">
        <v>1.5</v>
      </c>
      <c r="E156" t="n">
        <v>2.5</v>
      </c>
      <c r="F156" t="inlineStr">
        <is>
          <t>guests per occupied room</t>
        </is>
      </c>
      <c r="G156" t="inlineStr">
        <is>
          <t>assumption (labelled grid; not sourced; confirmed by the team on 19 October 2026)</t>
        </is>
      </c>
      <c r="H156" t="inlineStr">
        <is>
          <t>No source in the project sources. Placeholder for the average number of guests in an occupied room.</t>
        </is>
      </c>
    </row>
    <row r="157">
      <c r="A157" t="inlineStr">
        <is>
          <t>assumptions.csv</t>
        </is>
      </c>
      <c r="B157" t="inlineStr">
        <is>
          <t>movements_per_visit</t>
        </is>
      </c>
      <c r="C157" t="n">
        <v>2</v>
      </c>
      <c r="D157" t="n">
        <v>2</v>
      </c>
      <c r="E157" t="n">
        <v>1</v>
      </c>
      <c r="F157" t="inlineStr">
        <is>
          <t>passenger movements per visit</t>
        </is>
      </c>
      <c r="G157" t="inlineStr">
        <is>
          <t>assumption (labelled grid; not sourced; confirmed by the team on 19 October 2026)</t>
        </is>
      </c>
      <c r="H157" t="inlineStr">
        <is>
          <t>Definition used by visits_from_passengers. A round trip through the same airport counts two passenger movements. A visit that uses two airports counts one movement at each. Base and low use the round trip. High uses the two-airport case.</t>
        </is>
      </c>
    </row>
    <row r="158">
      <c r="A158" t="inlineStr">
        <is>
          <t>assumptions.csv</t>
        </is>
      </c>
      <c r="B158" t="inlineStr">
        <is>
          <t>current_airport_use_passengers_per_year</t>
        </is>
      </c>
      <c r="C158" t="n">
        <v>370210</v>
      </c>
      <c r="D158" t="n">
        <v>1000000</v>
      </c>
      <c r="E158" t="n">
        <v>100000</v>
      </c>
      <c r="F158" t="inlineStr">
        <is>
          <t>passengers per year</t>
        </is>
      </c>
      <c r="G158" t="inlineStr">
        <is>
          <t>assumption (labelled grid; not sourced; confirmed by the team on 19 October 2026)</t>
        </is>
      </c>
      <c r="H158" t="inlineStr">
        <is>
          <t>Base is the budget year 2024 figure of 370,210 passengers at U-Tapao, 1 October 2023 to 30 September 2024, from the operator's air traffic chart (input row utapao_passengers_oct2023_sep2024). The chart does not say whether counts include arrivals plus departures. Low is an assumed higher load and high an assumed lower load. No calendar 2024 total is confirmed; the Ministry file sum of 384,881 has an inferred year and is not used.</t>
        </is>
      </c>
    </row>
    <row r="159">
      <c r="A159" t="inlineStr">
        <is>
          <t>assumptions.csv</t>
        </is>
      </c>
      <c r="B159" t="inlineStr">
        <is>
          <t>planned_airport_addition_passengers_per_year</t>
        </is>
      </c>
      <c r="C159" t="n">
        <v>0</v>
      </c>
      <c r="D159" t="n">
        <v>0</v>
      </c>
      <c r="E159" t="n">
        <v>3700000</v>
      </c>
      <c r="F159" t="inlineStr">
        <is>
          <t>passengers per year</t>
        </is>
      </c>
      <c r="G159" t="inlineStr">
        <is>
          <t>assumption (labelled grid; not sourced; confirmed by the team on 19 October 2026)</t>
        </is>
      </c>
      <c r="H159" t="inlineStr">
        <is>
          <t>No planned addition is sourced in the form the model needs. The 0 percent on the EEC Office page applies only to a private-sector subsection, so no overall progress figure is confirmed. A February 2026 news report gives 2031 as the target year for operations (input row utapao_expansion_opening_year), but it gives no capacity. Base and low are zero. High assumes a second terminal with the same capacity as the current 3.7 million passengers (input row utapao_terminal_capacity_passengers_per_year). The EEC project target of 60 million passengers per year is undated and is not used.</t>
        </is>
      </c>
    </row>
    <row r="160">
      <c r="A160" t="inlineStr">
        <is>
          <t>assumptions.csv</t>
        </is>
      </c>
      <c r="B160" t="inlineStr">
        <is>
          <t>public_cost_after_construction_thb_bn_per_year</t>
        </is>
      </c>
      <c r="C160" t="n">
        <v>0.5</v>
      </c>
      <c r="D160" t="n">
        <v>1</v>
      </c>
      <c r="E160" t="n">
        <v>0</v>
      </c>
      <c r="F160" t="inlineStr">
        <is>
          <t>THB bn per year</t>
        </is>
      </c>
      <c r="G160" t="inlineStr">
        <is>
          <t>assumption (labelled grid; not sourced; confirmed by the team on 19 October 2026)</t>
        </is>
      </c>
      <c r="H160" t="inlineStr">
        <is>
          <t>No source in the project sources. Placeholder for the public operating cost borne by the government after construction, such as upkeep of access roads and utilities. The primary fiscal ledger also charges the complex capital cost to the government in the construction years, using the proposal value, which is not verified. The variant without that capital cost is reported alongside.</t>
        </is>
      </c>
    </row>
    <row r="161">
      <c r="A161" t="inlineStr">
        <is>
          <t>assumptions.csv</t>
        </is>
      </c>
      <c r="B161" t="inlineStr">
        <is>
          <t>rooms_serving_site</t>
        </is>
      </c>
      <c r="C161" t="n">
        <v>31581</v>
      </c>
      <c r="D161" t="n">
        <v>31581</v>
      </c>
      <c r="E161" t="n">
        <v>31581</v>
      </c>
      <c r="F161" t="inlineStr">
        <is>
          <t>rooms</t>
        </is>
      </c>
      <c r="G161" t="inlineStr">
        <is>
          <t>generalized (Pattaya city hotel keys as proxy for the Chon Buri room stock; confirmed by the team on 19 October 2026)</t>
        </is>
      </c>
      <c r="H161" t="inlineStr">
        <is>
          <t>Pattaya city hotel keys from CBRE (input row pattaya_hotel_keys_h2_2024, H2 2024), used as a proxy for the room stock that serves the complex. The complex site is not stated as Pattaya, and no Chon Buri room count is found (input row chonburi_accommodation_rooms_2024_or_2025 is pending). The same value is used in all three cases.</t>
        </is>
      </c>
    </row>
    <row r="162">
      <c r="A162" t="inlineStr">
        <is>
          <t>assumptions.csv</t>
        </is>
      </c>
      <c r="B162" t="inlineStr">
        <is>
          <t>occupancy_serving_site</t>
        </is>
      </c>
      <c r="C162" t="n">
        <v>0.8042</v>
      </c>
      <c r="D162" t="n">
        <v>0.8042</v>
      </c>
      <c r="E162" t="n">
        <v>0.8042</v>
      </c>
      <c r="F162" t="inlineStr">
        <is>
          <t>share</t>
        </is>
      </c>
      <c r="G162" t="inlineStr">
        <is>
          <t>generalized (official Chon Buri occupancy for 2024 combined with the Pattaya room stock, a proxy; confirmed by the team on 19 October 2026)</t>
        </is>
      </c>
      <c r="H162" t="inlineStr">
        <is>
          <t>Average occupancy of Chon Buri in 2024 is 80.42 percent (National Statistical Office Table 17.1, input row chonburi_occupancy_2024_tat). This replaces the Pattaya CBRE figure of 71.0 percent used earlier. The room stock is still a Pattaya proxy, and the same value is used in all three cases. The occupancy ceiling is close to this value, so the free room stock is small; see occupancy_ceiling_serving_site.</t>
        </is>
      </c>
    </row>
    <row r="163">
      <c r="A163" t="inlineStr">
        <is>
          <t>assumptions.csv</t>
        </is>
      </c>
      <c r="B163" t="inlineStr">
        <is>
          <t>occupancy_ceiling_serving_site</t>
        </is>
      </c>
      <c r="C163" t="n">
        <v>0.85</v>
      </c>
      <c r="D163" t="n">
        <v>0.8042</v>
      </c>
      <c r="E163" t="n">
        <v>0.9</v>
      </c>
      <c r="F163" t="inlineStr">
        <is>
          <t>share</t>
        </is>
      </c>
      <c r="G163" t="inlineStr">
        <is>
          <t>assumption (low anchored to the highest 2024 occupancy of any province; base and high assumed; not sourced; confirmed by the team on 19 October 2026)</t>
        </is>
      </c>
      <c r="H163" t="inlineStr">
        <is>
          <t>Practical maximum average occupancy. The accommodation headroom is the free room stock up to this ceiling, rooms times (ceiling minus occupancy), floored at zero, so that headroom is not measured to 100 percent occupancy. The low case is the highest 2024 occupancy observed in any Thai province: Chon Buri at 80.42 percent (National Statistical Office Table 17.1, input row chonburi_occupancy_2024_tat). Chon Buri ranks first of the 77 rows of the table, including Bangkok, and the next value is 80.12 percent. Under the low case the market has no free rooms, so the low case has no accommodation headroom. The base case (85 percent) and high case (90 percent) are assumed practical maximums above any observed rate. No source gives a ceiling. A base ceiling anchored to the observed maximum (80.42 percent) would give zero headroom in the base case as well.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2"/>
  <sheetViews>
    <sheetView workbookViewId="0">
      <pane ySplit="4" topLeftCell="A5" activePane="bottomLeft" state="frozen"/>
      <selection pane="bottomLeft" activeCell="A1" sqref="A1"/>
    </sheetView>
  </sheetViews>
  <sheetFormatPr baseColWidth="8" defaultRowHeight="15"/>
  <cols>
    <col width="60" customWidth="1" min="1" max="1"/>
    <col width="14" customWidth="1" min="2" max="2"/>
    <col width="14" customWidth="1" min="3" max="3"/>
    <col width="14"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1" t="inlineStr">
        <is>
          <t>Operator financial appraisal: legacy-model reconciliation and cash-cost proxy (base case, THB billion unless stated)</t>
        </is>
      </c>
    </row>
    <row r="2">
      <c r="A2" t="inlineStr">
        <is>
          <t>Legacy-model reconciliation using the original cost scope, with a separate cash-cost proxy. Results remain provisional. Years t = 0 to 22 from the start of construction. Cells are formulas linked to Inputs.</t>
        </is>
      </c>
    </row>
    <row r="3">
      <c r="A3" t="inlineStr">
        <is>
          <t>Limits: not a complete Financial Appraisal. The cash basis is a proxy from Hong Kong Disneyland FY2025 accounts. Not modelled: cash tax, replacement capex, working capital, and the park-only capex and revenue boundary. The depreciation treatment is pending the team decision.</t>
        </is>
      </c>
    </row>
    <row r="4">
      <c r="A4" t="inlineStr">
        <is>
          <t>Parameter</t>
        </is>
      </c>
      <c r="B4" t="inlineStr">
        <is>
          <t>Confirmed basis</t>
        </is>
      </c>
      <c r="C4" t="inlineStr">
        <is>
          <t>Cash basis</t>
        </is>
      </c>
    </row>
    <row r="5">
      <c r="A5" t="inlineStr">
        <is>
          <t>Operating-cost share of revenue</t>
        </is>
      </c>
      <c r="B5" s="3">
        <f>Inputs!$C$153</f>
        <v/>
      </c>
      <c r="C5" s="3">
        <f>Inputs!$C$135/Inputs!$C$86</f>
        <v/>
      </c>
    </row>
    <row r="6">
      <c r="A6" t="inlineStr">
        <is>
          <t>WACC (financial cost of capital)</t>
        </is>
      </c>
      <c r="B6">
        <f>Inputs!$C$145</f>
        <v/>
      </c>
      <c r="C6">
        <f>B6</f>
        <v/>
      </c>
    </row>
    <row r="7">
      <c r="A7" t="inlineStr">
        <is>
          <t>Project life (years of operation)</t>
        </is>
      </c>
      <c r="B7">
        <f>Inputs!$C$143</f>
        <v/>
      </c>
    </row>
    <row r="8">
      <c r="A8" t="inlineStr">
        <is>
          <t>Construction years</t>
        </is>
      </c>
      <c r="B8">
        <f>Inputs!$C$144</f>
        <v/>
      </c>
    </row>
    <row r="9">
      <c r="A9" t="inlineStr">
        <is>
          <t>Capital expenditure (THB bn, proposal value, not verified)</t>
        </is>
      </c>
      <c r="B9">
        <f>Inputs!$C$4</f>
        <v/>
      </c>
    </row>
    <row r="10">
      <c r="A10" t="inlineStr">
        <is>
          <t>Attendance (million visits a year)</t>
        </is>
      </c>
      <c r="B10">
        <f>Inputs!$C$146</f>
        <v/>
      </c>
    </row>
    <row r="11">
      <c r="A11" t="inlineStr">
        <is>
          <t>International share of attendance</t>
        </is>
      </c>
      <c r="B11">
        <f>Inputs!$C$147</f>
        <v/>
      </c>
    </row>
    <row r="12">
      <c r="A12" t="inlineStr">
        <is>
          <t>Physical visit cap (million visits a year): smaller of airport and room-stock capacity</t>
        </is>
      </c>
      <c r="B12">
        <f>MIN(Inputs!$C$28/Inputs!$C$157,Inputs!$C$161*365*Inputs!$C$156/Inputs!$C$155)/1000000</f>
        <v/>
      </c>
    </row>
    <row r="13">
      <c r="A13" t="inlineStr">
        <is>
          <t>Ticket revenue per visit (THB)</t>
        </is>
      </c>
      <c r="B13">
        <f>Inputs!$C$154</f>
        <v/>
      </c>
    </row>
    <row r="14">
      <c r="A14" t="inlineStr">
        <is>
          <t>Operator visits per operating year (million): attendance less international visits above the cap</t>
        </is>
      </c>
      <c r="B14">
        <f>B10-MAX(B10*B11-B12,0)</f>
        <v/>
      </c>
    </row>
    <row r="15">
      <c r="A15" t="inlineStr">
        <is>
          <t>Operator revenue per operating year (THB bn)</t>
        </is>
      </c>
      <c r="B15">
        <f>B14*B13/1000</f>
        <v/>
      </c>
    </row>
    <row r="17">
      <c r="A17" t="inlineStr">
        <is>
          <t>Results</t>
        </is>
      </c>
      <c r="B17" t="inlineStr">
        <is>
          <t>Confirmed basis</t>
        </is>
      </c>
      <c r="C17" t="inlineStr">
        <is>
          <t>Cash basis</t>
        </is>
      </c>
    </row>
    <row r="18">
      <c r="A18" t="inlineStr">
        <is>
          <t>Operator NPV at the financial cost of capital (THB bn)</t>
        </is>
      </c>
      <c r="B18" s="4">
        <f>SUM(J31:J53)</f>
        <v/>
      </c>
      <c r="C18" s="4">
        <f>SUM(N31:N53)</f>
        <v/>
      </c>
    </row>
    <row r="19">
      <c r="A19" t="inlineStr">
        <is>
          <t>Operator IRR</t>
        </is>
      </c>
      <c r="B19" s="5">
        <f>IRR(I31:I53)</f>
        <v/>
      </c>
      <c r="C19" s="5">
        <f>IRR(M31:M53)</f>
        <v/>
      </c>
    </row>
    <row r="20">
      <c r="A20" t="inlineStr">
        <is>
          <t>Break-even capital expenditure (THB bn), NPV = 0</t>
        </is>
      </c>
      <c r="B20" s="4">
        <f>B9*(B15*(1-B5)*B26)/B27</f>
        <v/>
      </c>
      <c r="C20" s="4">
        <f>B9*(B15*(1-C5)*B26)/B27</f>
        <v/>
      </c>
    </row>
    <row r="21">
      <c r="A21" t="inlineStr">
        <is>
          <t>Break-even attendance (million visits a year), NPV = 0</t>
        </is>
      </c>
      <c r="B21" s="4">
        <f>B10-B18/((1-B5)*B13/1000*(1-B11)*B26)</f>
        <v/>
      </c>
      <c r="C21" s="4">
        <f>B10-C18/((1-C5)*B13/1000*(1-B11)*B26)</f>
        <v/>
      </c>
    </row>
    <row r="22">
      <c r="A22" t="inlineStr">
        <is>
          <t>Regime check for break-even attendance (OK when the break-even attendance is above the cap)</t>
        </is>
      </c>
      <c r="B22">
        <f>IF(B21*B11&gt;=B12,"OK","CHECK")</f>
        <v/>
      </c>
      <c r="C22">
        <f>IF(C21*B11&gt;=B12,"OK","CHECK")</f>
        <v/>
      </c>
    </row>
    <row r="23">
      <c r="A23" t="inlineStr">
        <is>
          <t>Model reference NPV (scratch run of the model, 20 Oct 2026; for audit only)</t>
        </is>
      </c>
      <c r="B23" s="4" t="n">
        <v>-280.9412696301409</v>
      </c>
      <c r="C23" s="4" t="n">
        <v>-259.4197777456208</v>
      </c>
    </row>
    <row r="24">
      <c r="A24" t="inlineStr">
        <is>
          <t>Difference from the model reference (should be about 0)</t>
        </is>
      </c>
      <c r="B24" s="4">
        <f>B18-B23</f>
        <v/>
      </c>
      <c r="C24" s="4">
        <f>C18-C23</f>
        <v/>
      </c>
    </row>
    <row r="26">
      <c r="A26" t="inlineStr">
        <is>
          <t>Sum of discount factors over operating years (AF0)</t>
        </is>
      </c>
      <c r="B26">
        <f>SUMPRODUCT(B31:B53,D31:D53)</f>
        <v/>
      </c>
    </row>
    <row r="27">
      <c r="A27" t="inlineStr">
        <is>
          <t>Present value of capital expenditure at the proposal value (PVcap, THB bn)</t>
        </is>
      </c>
      <c r="B27">
        <f>SUMPRODUCT(E31:E53,B31:B53)</f>
        <v/>
      </c>
    </row>
    <row r="30">
      <c r="A30" s="6" t="inlineStr">
        <is>
          <t>Year t</t>
        </is>
      </c>
      <c r="B30" s="6" t="inlineStr">
        <is>
          <t>Discount factor</t>
        </is>
      </c>
      <c r="C30" s="6" t="inlineStr">
        <is>
          <t>Construction flag</t>
        </is>
      </c>
      <c r="D30" s="6" t="inlineStr">
        <is>
          <t>Operating flag</t>
        </is>
      </c>
      <c r="E30" s="6" t="inlineStr">
        <is>
          <t>Capex (THB bn)</t>
        </is>
      </c>
      <c r="F30" s="6" t="inlineStr">
        <is>
          <t>Operator visits (million)</t>
        </is>
      </c>
      <c r="G30" s="6" t="inlineStr">
        <is>
          <t>Revenue (THB bn)</t>
        </is>
      </c>
      <c r="H30" s="6" t="inlineStr">
        <is>
          <t>Opex, confirmed (THB bn)</t>
        </is>
      </c>
      <c r="I30" s="6" t="inlineStr">
        <is>
          <t>Cash flow, confirmed</t>
        </is>
      </c>
      <c r="J30" s="6" t="inlineStr">
        <is>
          <t>PV, confirmed</t>
        </is>
      </c>
      <c r="K30" s="6" t="inlineStr">
        <is>
          <t>Cumulative, confirmed</t>
        </is>
      </c>
      <c r="L30" s="6" t="inlineStr">
        <is>
          <t>Opex, cash basis (THB bn)</t>
        </is>
      </c>
      <c r="M30" s="6" t="inlineStr">
        <is>
          <t>Cash flow, cash basis</t>
        </is>
      </c>
      <c r="N30" s="6" t="inlineStr">
        <is>
          <t>PV, cash basis</t>
        </is>
      </c>
      <c r="O30" s="6" t="inlineStr">
        <is>
          <t>Cumulative, cash basis</t>
        </is>
      </c>
    </row>
    <row r="31">
      <c r="A31" t="n">
        <v>0</v>
      </c>
      <c r="B31" s="3">
        <f>1/(1+$B$6)^A31</f>
        <v/>
      </c>
      <c r="C31">
        <f>IF(A31&lt;$B$8,1,0)</f>
        <v/>
      </c>
      <c r="D31">
        <f>IF(AND(A31&gt;=$B$8,A31&lt;$B$8+$B$7),1,0)</f>
        <v/>
      </c>
      <c r="E31" s="4">
        <f>C31*$B$9/$B$8</f>
        <v/>
      </c>
      <c r="F31" s="7">
        <f>D31*$B$14</f>
        <v/>
      </c>
      <c r="G31" s="4">
        <f>F31*$B$13/1000</f>
        <v/>
      </c>
      <c r="H31" s="4">
        <f>$B$5*G31</f>
        <v/>
      </c>
      <c r="I31" s="4">
        <f>G31-H31-E31</f>
        <v/>
      </c>
      <c r="J31" s="4">
        <f>I31*B31</f>
        <v/>
      </c>
      <c r="K31" s="4">
        <f>SUM($I$31:I31)</f>
        <v/>
      </c>
      <c r="L31" s="4">
        <f>$C$5*G31</f>
        <v/>
      </c>
      <c r="M31" s="4">
        <f>G31-L31-E31</f>
        <v/>
      </c>
      <c r="N31" s="4">
        <f>M31*B31</f>
        <v/>
      </c>
      <c r="O31" s="4">
        <f>SUM($M$31:M31)</f>
        <v/>
      </c>
    </row>
    <row r="32">
      <c r="A32" t="n">
        <v>1</v>
      </c>
      <c r="B32" s="3">
        <f>1/(1+$B$6)^A32</f>
        <v/>
      </c>
      <c r="C32">
        <f>IF(A32&lt;$B$8,1,0)</f>
        <v/>
      </c>
      <c r="D32">
        <f>IF(AND(A32&gt;=$B$8,A32&lt;$B$8+$B$7),1,0)</f>
        <v/>
      </c>
      <c r="E32" s="4">
        <f>C32*$B$9/$B$8</f>
        <v/>
      </c>
      <c r="F32" s="7">
        <f>D32*$B$14</f>
        <v/>
      </c>
      <c r="G32" s="4">
        <f>F32*$B$13/1000</f>
        <v/>
      </c>
      <c r="H32" s="4">
        <f>$B$5*G32</f>
        <v/>
      </c>
      <c r="I32" s="4">
        <f>G32-H32-E32</f>
        <v/>
      </c>
      <c r="J32" s="4">
        <f>I32*B32</f>
        <v/>
      </c>
      <c r="K32" s="4">
        <f>SUM($I$31:I32)</f>
        <v/>
      </c>
      <c r="L32" s="4">
        <f>$C$5*G32</f>
        <v/>
      </c>
      <c r="M32" s="4">
        <f>G32-L32-E32</f>
        <v/>
      </c>
      <c r="N32" s="4">
        <f>M32*B32</f>
        <v/>
      </c>
      <c r="O32" s="4">
        <f>SUM($M$31:M32)</f>
        <v/>
      </c>
    </row>
    <row r="33">
      <c r="A33" t="n">
        <v>2</v>
      </c>
      <c r="B33" s="3">
        <f>1/(1+$B$6)^A33</f>
        <v/>
      </c>
      <c r="C33">
        <f>IF(A33&lt;$B$8,1,0)</f>
        <v/>
      </c>
      <c r="D33">
        <f>IF(AND(A33&gt;=$B$8,A33&lt;$B$8+$B$7),1,0)</f>
        <v/>
      </c>
      <c r="E33" s="4">
        <f>C33*$B$9/$B$8</f>
        <v/>
      </c>
      <c r="F33" s="7">
        <f>D33*$B$14</f>
        <v/>
      </c>
      <c r="G33" s="4">
        <f>F33*$B$13/1000</f>
        <v/>
      </c>
      <c r="H33" s="4">
        <f>$B$5*G33</f>
        <v/>
      </c>
      <c r="I33" s="4">
        <f>G33-H33-E33</f>
        <v/>
      </c>
      <c r="J33" s="4">
        <f>I33*B33</f>
        <v/>
      </c>
      <c r="K33" s="4">
        <f>SUM($I$31:I33)</f>
        <v/>
      </c>
      <c r="L33" s="4">
        <f>$C$5*G33</f>
        <v/>
      </c>
      <c r="M33" s="4">
        <f>G33-L33-E33</f>
        <v/>
      </c>
      <c r="N33" s="4">
        <f>M33*B33</f>
        <v/>
      </c>
      <c r="O33" s="4">
        <f>SUM($M$31:M33)</f>
        <v/>
      </c>
    </row>
    <row r="34">
      <c r="A34" t="n">
        <v>3</v>
      </c>
      <c r="B34" s="3">
        <f>1/(1+$B$6)^A34</f>
        <v/>
      </c>
      <c r="C34">
        <f>IF(A34&lt;$B$8,1,0)</f>
        <v/>
      </c>
      <c r="D34">
        <f>IF(AND(A34&gt;=$B$8,A34&lt;$B$8+$B$7),1,0)</f>
        <v/>
      </c>
      <c r="E34" s="4">
        <f>C34*$B$9/$B$8</f>
        <v/>
      </c>
      <c r="F34" s="7">
        <f>D34*$B$14</f>
        <v/>
      </c>
      <c r="G34" s="4">
        <f>F34*$B$13/1000</f>
        <v/>
      </c>
      <c r="H34" s="4">
        <f>$B$5*G34</f>
        <v/>
      </c>
      <c r="I34" s="4">
        <f>G34-H34-E34</f>
        <v/>
      </c>
      <c r="J34" s="4">
        <f>I34*B34</f>
        <v/>
      </c>
      <c r="K34" s="4">
        <f>SUM($I$31:I34)</f>
        <v/>
      </c>
      <c r="L34" s="4">
        <f>$C$5*G34</f>
        <v/>
      </c>
      <c r="M34" s="4">
        <f>G34-L34-E34</f>
        <v/>
      </c>
      <c r="N34" s="4">
        <f>M34*B34</f>
        <v/>
      </c>
      <c r="O34" s="4">
        <f>SUM($M$31:M34)</f>
        <v/>
      </c>
    </row>
    <row r="35">
      <c r="A35" t="n">
        <v>4</v>
      </c>
      <c r="B35" s="3">
        <f>1/(1+$B$6)^A35</f>
        <v/>
      </c>
      <c r="C35">
        <f>IF(A35&lt;$B$8,1,0)</f>
        <v/>
      </c>
      <c r="D35">
        <f>IF(AND(A35&gt;=$B$8,A35&lt;$B$8+$B$7),1,0)</f>
        <v/>
      </c>
      <c r="E35" s="4">
        <f>C35*$B$9/$B$8</f>
        <v/>
      </c>
      <c r="F35" s="7">
        <f>D35*$B$14</f>
        <v/>
      </c>
      <c r="G35" s="4">
        <f>F35*$B$13/1000</f>
        <v/>
      </c>
      <c r="H35" s="4">
        <f>$B$5*G35</f>
        <v/>
      </c>
      <c r="I35" s="4">
        <f>G35-H35-E35</f>
        <v/>
      </c>
      <c r="J35" s="4">
        <f>I35*B35</f>
        <v/>
      </c>
      <c r="K35" s="4">
        <f>SUM($I$31:I35)</f>
        <v/>
      </c>
      <c r="L35" s="4">
        <f>$C$5*G35</f>
        <v/>
      </c>
      <c r="M35" s="4">
        <f>G35-L35-E35</f>
        <v/>
      </c>
      <c r="N35" s="4">
        <f>M35*B35</f>
        <v/>
      </c>
      <c r="O35" s="4">
        <f>SUM($M$31:M35)</f>
        <v/>
      </c>
    </row>
    <row r="36">
      <c r="A36" t="n">
        <v>5</v>
      </c>
      <c r="B36" s="3">
        <f>1/(1+$B$6)^A36</f>
        <v/>
      </c>
      <c r="C36">
        <f>IF(A36&lt;$B$8,1,0)</f>
        <v/>
      </c>
      <c r="D36">
        <f>IF(AND(A36&gt;=$B$8,A36&lt;$B$8+$B$7),1,0)</f>
        <v/>
      </c>
      <c r="E36" s="4">
        <f>C36*$B$9/$B$8</f>
        <v/>
      </c>
      <c r="F36" s="7">
        <f>D36*$B$14</f>
        <v/>
      </c>
      <c r="G36" s="4">
        <f>F36*$B$13/1000</f>
        <v/>
      </c>
      <c r="H36" s="4">
        <f>$B$5*G36</f>
        <v/>
      </c>
      <c r="I36" s="4">
        <f>G36-H36-E36</f>
        <v/>
      </c>
      <c r="J36" s="4">
        <f>I36*B36</f>
        <v/>
      </c>
      <c r="K36" s="4">
        <f>SUM($I$31:I36)</f>
        <v/>
      </c>
      <c r="L36" s="4">
        <f>$C$5*G36</f>
        <v/>
      </c>
      <c r="M36" s="4">
        <f>G36-L36-E36</f>
        <v/>
      </c>
      <c r="N36" s="4">
        <f>M36*B36</f>
        <v/>
      </c>
      <c r="O36" s="4">
        <f>SUM($M$31:M36)</f>
        <v/>
      </c>
    </row>
    <row r="37">
      <c r="A37" t="n">
        <v>6</v>
      </c>
      <c r="B37" s="3">
        <f>1/(1+$B$6)^A37</f>
        <v/>
      </c>
      <c r="C37">
        <f>IF(A37&lt;$B$8,1,0)</f>
        <v/>
      </c>
      <c r="D37">
        <f>IF(AND(A37&gt;=$B$8,A37&lt;$B$8+$B$7),1,0)</f>
        <v/>
      </c>
      <c r="E37" s="4">
        <f>C37*$B$9/$B$8</f>
        <v/>
      </c>
      <c r="F37" s="7">
        <f>D37*$B$14</f>
        <v/>
      </c>
      <c r="G37" s="4">
        <f>F37*$B$13/1000</f>
        <v/>
      </c>
      <c r="H37" s="4">
        <f>$B$5*G37</f>
        <v/>
      </c>
      <c r="I37" s="4">
        <f>G37-H37-E37</f>
        <v/>
      </c>
      <c r="J37" s="4">
        <f>I37*B37</f>
        <v/>
      </c>
      <c r="K37" s="4">
        <f>SUM($I$31:I37)</f>
        <v/>
      </c>
      <c r="L37" s="4">
        <f>$C$5*G37</f>
        <v/>
      </c>
      <c r="M37" s="4">
        <f>G37-L37-E37</f>
        <v/>
      </c>
      <c r="N37" s="4">
        <f>M37*B37</f>
        <v/>
      </c>
      <c r="O37" s="4">
        <f>SUM($M$31:M37)</f>
        <v/>
      </c>
    </row>
    <row r="38">
      <c r="A38" t="n">
        <v>7</v>
      </c>
      <c r="B38" s="3">
        <f>1/(1+$B$6)^A38</f>
        <v/>
      </c>
      <c r="C38">
        <f>IF(A38&lt;$B$8,1,0)</f>
        <v/>
      </c>
      <c r="D38">
        <f>IF(AND(A38&gt;=$B$8,A38&lt;$B$8+$B$7),1,0)</f>
        <v/>
      </c>
      <c r="E38" s="4">
        <f>C38*$B$9/$B$8</f>
        <v/>
      </c>
      <c r="F38" s="7">
        <f>D38*$B$14</f>
        <v/>
      </c>
      <c r="G38" s="4">
        <f>F38*$B$13/1000</f>
        <v/>
      </c>
      <c r="H38" s="4">
        <f>$B$5*G38</f>
        <v/>
      </c>
      <c r="I38" s="4">
        <f>G38-H38-E38</f>
        <v/>
      </c>
      <c r="J38" s="4">
        <f>I38*B38</f>
        <v/>
      </c>
      <c r="K38" s="4">
        <f>SUM($I$31:I38)</f>
        <v/>
      </c>
      <c r="L38" s="4">
        <f>$C$5*G38</f>
        <v/>
      </c>
      <c r="M38" s="4">
        <f>G38-L38-E38</f>
        <v/>
      </c>
      <c r="N38" s="4">
        <f>M38*B38</f>
        <v/>
      </c>
      <c r="O38" s="4">
        <f>SUM($M$31:M38)</f>
        <v/>
      </c>
    </row>
    <row r="39">
      <c r="A39" t="n">
        <v>8</v>
      </c>
      <c r="B39" s="3">
        <f>1/(1+$B$6)^A39</f>
        <v/>
      </c>
      <c r="C39">
        <f>IF(A39&lt;$B$8,1,0)</f>
        <v/>
      </c>
      <c r="D39">
        <f>IF(AND(A39&gt;=$B$8,A39&lt;$B$8+$B$7),1,0)</f>
        <v/>
      </c>
      <c r="E39" s="4">
        <f>C39*$B$9/$B$8</f>
        <v/>
      </c>
      <c r="F39" s="7">
        <f>D39*$B$14</f>
        <v/>
      </c>
      <c r="G39" s="4">
        <f>F39*$B$13/1000</f>
        <v/>
      </c>
      <c r="H39" s="4">
        <f>$B$5*G39</f>
        <v/>
      </c>
      <c r="I39" s="4">
        <f>G39-H39-E39</f>
        <v/>
      </c>
      <c r="J39" s="4">
        <f>I39*B39</f>
        <v/>
      </c>
      <c r="K39" s="4">
        <f>SUM($I$31:I39)</f>
        <v/>
      </c>
      <c r="L39" s="4">
        <f>$C$5*G39</f>
        <v/>
      </c>
      <c r="M39" s="4">
        <f>G39-L39-E39</f>
        <v/>
      </c>
      <c r="N39" s="4">
        <f>M39*B39</f>
        <v/>
      </c>
      <c r="O39" s="4">
        <f>SUM($M$31:M39)</f>
        <v/>
      </c>
    </row>
    <row r="40">
      <c r="A40" t="n">
        <v>9</v>
      </c>
      <c r="B40" s="3">
        <f>1/(1+$B$6)^A40</f>
        <v/>
      </c>
      <c r="C40">
        <f>IF(A40&lt;$B$8,1,0)</f>
        <v/>
      </c>
      <c r="D40">
        <f>IF(AND(A40&gt;=$B$8,A40&lt;$B$8+$B$7),1,0)</f>
        <v/>
      </c>
      <c r="E40" s="4">
        <f>C40*$B$9/$B$8</f>
        <v/>
      </c>
      <c r="F40" s="7">
        <f>D40*$B$14</f>
        <v/>
      </c>
      <c r="G40" s="4">
        <f>F40*$B$13/1000</f>
        <v/>
      </c>
      <c r="H40" s="4">
        <f>$B$5*G40</f>
        <v/>
      </c>
      <c r="I40" s="4">
        <f>G40-H40-E40</f>
        <v/>
      </c>
      <c r="J40" s="4">
        <f>I40*B40</f>
        <v/>
      </c>
      <c r="K40" s="4">
        <f>SUM($I$31:I40)</f>
        <v/>
      </c>
      <c r="L40" s="4">
        <f>$C$5*G40</f>
        <v/>
      </c>
      <c r="M40" s="4">
        <f>G40-L40-E40</f>
        <v/>
      </c>
      <c r="N40" s="4">
        <f>M40*B40</f>
        <v/>
      </c>
      <c r="O40" s="4">
        <f>SUM($M$31:M40)</f>
        <v/>
      </c>
    </row>
    <row r="41">
      <c r="A41" t="n">
        <v>10</v>
      </c>
      <c r="B41" s="3">
        <f>1/(1+$B$6)^A41</f>
        <v/>
      </c>
      <c r="C41">
        <f>IF(A41&lt;$B$8,1,0)</f>
        <v/>
      </c>
      <c r="D41">
        <f>IF(AND(A41&gt;=$B$8,A41&lt;$B$8+$B$7),1,0)</f>
        <v/>
      </c>
      <c r="E41" s="4">
        <f>C41*$B$9/$B$8</f>
        <v/>
      </c>
      <c r="F41" s="7">
        <f>D41*$B$14</f>
        <v/>
      </c>
      <c r="G41" s="4">
        <f>F41*$B$13/1000</f>
        <v/>
      </c>
      <c r="H41" s="4">
        <f>$B$5*G41</f>
        <v/>
      </c>
      <c r="I41" s="4">
        <f>G41-H41-E41</f>
        <v/>
      </c>
      <c r="J41" s="4">
        <f>I41*B41</f>
        <v/>
      </c>
      <c r="K41" s="4">
        <f>SUM($I$31:I41)</f>
        <v/>
      </c>
      <c r="L41" s="4">
        <f>$C$5*G41</f>
        <v/>
      </c>
      <c r="M41" s="4">
        <f>G41-L41-E41</f>
        <v/>
      </c>
      <c r="N41" s="4">
        <f>M41*B41</f>
        <v/>
      </c>
      <c r="O41" s="4">
        <f>SUM($M$31:M41)</f>
        <v/>
      </c>
    </row>
    <row r="42">
      <c r="A42" t="n">
        <v>11</v>
      </c>
      <c r="B42" s="3">
        <f>1/(1+$B$6)^A42</f>
        <v/>
      </c>
      <c r="C42">
        <f>IF(A42&lt;$B$8,1,0)</f>
        <v/>
      </c>
      <c r="D42">
        <f>IF(AND(A42&gt;=$B$8,A42&lt;$B$8+$B$7),1,0)</f>
        <v/>
      </c>
      <c r="E42" s="4">
        <f>C42*$B$9/$B$8</f>
        <v/>
      </c>
      <c r="F42" s="7">
        <f>D42*$B$14</f>
        <v/>
      </c>
      <c r="G42" s="4">
        <f>F42*$B$13/1000</f>
        <v/>
      </c>
      <c r="H42" s="4">
        <f>$B$5*G42</f>
        <v/>
      </c>
      <c r="I42" s="4">
        <f>G42-H42-E42</f>
        <v/>
      </c>
      <c r="J42" s="4">
        <f>I42*B42</f>
        <v/>
      </c>
      <c r="K42" s="4">
        <f>SUM($I$31:I42)</f>
        <v/>
      </c>
      <c r="L42" s="4">
        <f>$C$5*G42</f>
        <v/>
      </c>
      <c r="M42" s="4">
        <f>G42-L42-E42</f>
        <v/>
      </c>
      <c r="N42" s="4">
        <f>M42*B42</f>
        <v/>
      </c>
      <c r="O42" s="4">
        <f>SUM($M$31:M42)</f>
        <v/>
      </c>
    </row>
    <row r="43">
      <c r="A43" t="n">
        <v>12</v>
      </c>
      <c r="B43" s="3">
        <f>1/(1+$B$6)^A43</f>
        <v/>
      </c>
      <c r="C43">
        <f>IF(A43&lt;$B$8,1,0)</f>
        <v/>
      </c>
      <c r="D43">
        <f>IF(AND(A43&gt;=$B$8,A43&lt;$B$8+$B$7),1,0)</f>
        <v/>
      </c>
      <c r="E43" s="4">
        <f>C43*$B$9/$B$8</f>
        <v/>
      </c>
      <c r="F43" s="7">
        <f>D43*$B$14</f>
        <v/>
      </c>
      <c r="G43" s="4">
        <f>F43*$B$13/1000</f>
        <v/>
      </c>
      <c r="H43" s="4">
        <f>$B$5*G43</f>
        <v/>
      </c>
      <c r="I43" s="4">
        <f>G43-H43-E43</f>
        <v/>
      </c>
      <c r="J43" s="4">
        <f>I43*B43</f>
        <v/>
      </c>
      <c r="K43" s="4">
        <f>SUM($I$31:I43)</f>
        <v/>
      </c>
      <c r="L43" s="4">
        <f>$C$5*G43</f>
        <v/>
      </c>
      <c r="M43" s="4">
        <f>G43-L43-E43</f>
        <v/>
      </c>
      <c r="N43" s="4">
        <f>M43*B43</f>
        <v/>
      </c>
      <c r="O43" s="4">
        <f>SUM($M$31:M43)</f>
        <v/>
      </c>
    </row>
    <row r="44">
      <c r="A44" t="n">
        <v>13</v>
      </c>
      <c r="B44" s="3">
        <f>1/(1+$B$6)^A44</f>
        <v/>
      </c>
      <c r="C44">
        <f>IF(A44&lt;$B$8,1,0)</f>
        <v/>
      </c>
      <c r="D44">
        <f>IF(AND(A44&gt;=$B$8,A44&lt;$B$8+$B$7),1,0)</f>
        <v/>
      </c>
      <c r="E44" s="4">
        <f>C44*$B$9/$B$8</f>
        <v/>
      </c>
      <c r="F44" s="7">
        <f>D44*$B$14</f>
        <v/>
      </c>
      <c r="G44" s="4">
        <f>F44*$B$13/1000</f>
        <v/>
      </c>
      <c r="H44" s="4">
        <f>$B$5*G44</f>
        <v/>
      </c>
      <c r="I44" s="4">
        <f>G44-H44-E44</f>
        <v/>
      </c>
      <c r="J44" s="4">
        <f>I44*B44</f>
        <v/>
      </c>
      <c r="K44" s="4">
        <f>SUM($I$31:I44)</f>
        <v/>
      </c>
      <c r="L44" s="4">
        <f>$C$5*G44</f>
        <v/>
      </c>
      <c r="M44" s="4">
        <f>G44-L44-E44</f>
        <v/>
      </c>
      <c r="N44" s="4">
        <f>M44*B44</f>
        <v/>
      </c>
      <c r="O44" s="4">
        <f>SUM($M$31:M44)</f>
        <v/>
      </c>
    </row>
    <row r="45">
      <c r="A45" t="n">
        <v>14</v>
      </c>
      <c r="B45" s="3">
        <f>1/(1+$B$6)^A45</f>
        <v/>
      </c>
      <c r="C45">
        <f>IF(A45&lt;$B$8,1,0)</f>
        <v/>
      </c>
      <c r="D45">
        <f>IF(AND(A45&gt;=$B$8,A45&lt;$B$8+$B$7),1,0)</f>
        <v/>
      </c>
      <c r="E45" s="4">
        <f>C45*$B$9/$B$8</f>
        <v/>
      </c>
      <c r="F45" s="7">
        <f>D45*$B$14</f>
        <v/>
      </c>
      <c r="G45" s="4">
        <f>F45*$B$13/1000</f>
        <v/>
      </c>
      <c r="H45" s="4">
        <f>$B$5*G45</f>
        <v/>
      </c>
      <c r="I45" s="4">
        <f>G45-H45-E45</f>
        <v/>
      </c>
      <c r="J45" s="4">
        <f>I45*B45</f>
        <v/>
      </c>
      <c r="K45" s="4">
        <f>SUM($I$31:I45)</f>
        <v/>
      </c>
      <c r="L45" s="4">
        <f>$C$5*G45</f>
        <v/>
      </c>
      <c r="M45" s="4">
        <f>G45-L45-E45</f>
        <v/>
      </c>
      <c r="N45" s="4">
        <f>M45*B45</f>
        <v/>
      </c>
      <c r="O45" s="4">
        <f>SUM($M$31:M45)</f>
        <v/>
      </c>
    </row>
    <row r="46">
      <c r="A46" t="n">
        <v>15</v>
      </c>
      <c r="B46" s="3">
        <f>1/(1+$B$6)^A46</f>
        <v/>
      </c>
      <c r="C46">
        <f>IF(A46&lt;$B$8,1,0)</f>
        <v/>
      </c>
      <c r="D46">
        <f>IF(AND(A46&gt;=$B$8,A46&lt;$B$8+$B$7),1,0)</f>
        <v/>
      </c>
      <c r="E46" s="4">
        <f>C46*$B$9/$B$8</f>
        <v/>
      </c>
      <c r="F46" s="7">
        <f>D46*$B$14</f>
        <v/>
      </c>
      <c r="G46" s="4">
        <f>F46*$B$13/1000</f>
        <v/>
      </c>
      <c r="H46" s="4">
        <f>$B$5*G46</f>
        <v/>
      </c>
      <c r="I46" s="4">
        <f>G46-H46-E46</f>
        <v/>
      </c>
      <c r="J46" s="4">
        <f>I46*B46</f>
        <v/>
      </c>
      <c r="K46" s="4">
        <f>SUM($I$31:I46)</f>
        <v/>
      </c>
      <c r="L46" s="4">
        <f>$C$5*G46</f>
        <v/>
      </c>
      <c r="M46" s="4">
        <f>G46-L46-E46</f>
        <v/>
      </c>
      <c r="N46" s="4">
        <f>M46*B46</f>
        <v/>
      </c>
      <c r="O46" s="4">
        <f>SUM($M$31:M46)</f>
        <v/>
      </c>
    </row>
    <row r="47">
      <c r="A47" t="n">
        <v>16</v>
      </c>
      <c r="B47" s="3">
        <f>1/(1+$B$6)^A47</f>
        <v/>
      </c>
      <c r="C47">
        <f>IF(A47&lt;$B$8,1,0)</f>
        <v/>
      </c>
      <c r="D47">
        <f>IF(AND(A47&gt;=$B$8,A47&lt;$B$8+$B$7),1,0)</f>
        <v/>
      </c>
      <c r="E47" s="4">
        <f>C47*$B$9/$B$8</f>
        <v/>
      </c>
      <c r="F47" s="7">
        <f>D47*$B$14</f>
        <v/>
      </c>
      <c r="G47" s="4">
        <f>F47*$B$13/1000</f>
        <v/>
      </c>
      <c r="H47" s="4">
        <f>$B$5*G47</f>
        <v/>
      </c>
      <c r="I47" s="4">
        <f>G47-H47-E47</f>
        <v/>
      </c>
      <c r="J47" s="4">
        <f>I47*B47</f>
        <v/>
      </c>
      <c r="K47" s="4">
        <f>SUM($I$31:I47)</f>
        <v/>
      </c>
      <c r="L47" s="4">
        <f>$C$5*G47</f>
        <v/>
      </c>
      <c r="M47" s="4">
        <f>G47-L47-E47</f>
        <v/>
      </c>
      <c r="N47" s="4">
        <f>M47*B47</f>
        <v/>
      </c>
      <c r="O47" s="4">
        <f>SUM($M$31:M47)</f>
        <v/>
      </c>
    </row>
    <row r="48">
      <c r="A48" t="n">
        <v>17</v>
      </c>
      <c r="B48" s="3">
        <f>1/(1+$B$6)^A48</f>
        <v/>
      </c>
      <c r="C48">
        <f>IF(A48&lt;$B$8,1,0)</f>
        <v/>
      </c>
      <c r="D48">
        <f>IF(AND(A48&gt;=$B$8,A48&lt;$B$8+$B$7),1,0)</f>
        <v/>
      </c>
      <c r="E48" s="4">
        <f>C48*$B$9/$B$8</f>
        <v/>
      </c>
      <c r="F48" s="7">
        <f>D48*$B$14</f>
        <v/>
      </c>
      <c r="G48" s="4">
        <f>F48*$B$13/1000</f>
        <v/>
      </c>
      <c r="H48" s="4">
        <f>$B$5*G48</f>
        <v/>
      </c>
      <c r="I48" s="4">
        <f>G48-H48-E48</f>
        <v/>
      </c>
      <c r="J48" s="4">
        <f>I48*B48</f>
        <v/>
      </c>
      <c r="K48" s="4">
        <f>SUM($I$31:I48)</f>
        <v/>
      </c>
      <c r="L48" s="4">
        <f>$C$5*G48</f>
        <v/>
      </c>
      <c r="M48" s="4">
        <f>G48-L48-E48</f>
        <v/>
      </c>
      <c r="N48" s="4">
        <f>M48*B48</f>
        <v/>
      </c>
      <c r="O48" s="4">
        <f>SUM($M$31:M48)</f>
        <v/>
      </c>
    </row>
    <row r="49">
      <c r="A49" t="n">
        <v>18</v>
      </c>
      <c r="B49" s="3">
        <f>1/(1+$B$6)^A49</f>
        <v/>
      </c>
      <c r="C49">
        <f>IF(A49&lt;$B$8,1,0)</f>
        <v/>
      </c>
      <c r="D49">
        <f>IF(AND(A49&gt;=$B$8,A49&lt;$B$8+$B$7),1,0)</f>
        <v/>
      </c>
      <c r="E49" s="4">
        <f>C49*$B$9/$B$8</f>
        <v/>
      </c>
      <c r="F49" s="7">
        <f>D49*$B$14</f>
        <v/>
      </c>
      <c r="G49" s="4">
        <f>F49*$B$13/1000</f>
        <v/>
      </c>
      <c r="H49" s="4">
        <f>$B$5*G49</f>
        <v/>
      </c>
      <c r="I49" s="4">
        <f>G49-H49-E49</f>
        <v/>
      </c>
      <c r="J49" s="4">
        <f>I49*B49</f>
        <v/>
      </c>
      <c r="K49" s="4">
        <f>SUM($I$31:I49)</f>
        <v/>
      </c>
      <c r="L49" s="4">
        <f>$C$5*G49</f>
        <v/>
      </c>
      <c r="M49" s="4">
        <f>G49-L49-E49</f>
        <v/>
      </c>
      <c r="N49" s="4">
        <f>M49*B49</f>
        <v/>
      </c>
      <c r="O49" s="4">
        <f>SUM($M$31:M49)</f>
        <v/>
      </c>
    </row>
    <row r="50">
      <c r="A50" t="n">
        <v>19</v>
      </c>
      <c r="B50" s="3">
        <f>1/(1+$B$6)^A50</f>
        <v/>
      </c>
      <c r="C50">
        <f>IF(A50&lt;$B$8,1,0)</f>
        <v/>
      </c>
      <c r="D50">
        <f>IF(AND(A50&gt;=$B$8,A50&lt;$B$8+$B$7),1,0)</f>
        <v/>
      </c>
      <c r="E50" s="4">
        <f>C50*$B$9/$B$8</f>
        <v/>
      </c>
      <c r="F50" s="7">
        <f>D50*$B$14</f>
        <v/>
      </c>
      <c r="G50" s="4">
        <f>F50*$B$13/1000</f>
        <v/>
      </c>
      <c r="H50" s="4">
        <f>$B$5*G50</f>
        <v/>
      </c>
      <c r="I50" s="4">
        <f>G50-H50-E50</f>
        <v/>
      </c>
      <c r="J50" s="4">
        <f>I50*B50</f>
        <v/>
      </c>
      <c r="K50" s="4">
        <f>SUM($I$31:I50)</f>
        <v/>
      </c>
      <c r="L50" s="4">
        <f>$C$5*G50</f>
        <v/>
      </c>
      <c r="M50" s="4">
        <f>G50-L50-E50</f>
        <v/>
      </c>
      <c r="N50" s="4">
        <f>M50*B50</f>
        <v/>
      </c>
      <c r="O50" s="4">
        <f>SUM($M$31:M50)</f>
        <v/>
      </c>
    </row>
    <row r="51">
      <c r="A51" t="n">
        <v>20</v>
      </c>
      <c r="B51" s="3">
        <f>1/(1+$B$6)^A51</f>
        <v/>
      </c>
      <c r="C51">
        <f>IF(A51&lt;$B$8,1,0)</f>
        <v/>
      </c>
      <c r="D51">
        <f>IF(AND(A51&gt;=$B$8,A51&lt;$B$8+$B$7),1,0)</f>
        <v/>
      </c>
      <c r="E51" s="4">
        <f>C51*$B$9/$B$8</f>
        <v/>
      </c>
      <c r="F51" s="7">
        <f>D51*$B$14</f>
        <v/>
      </c>
      <c r="G51" s="4">
        <f>F51*$B$13/1000</f>
        <v/>
      </c>
      <c r="H51" s="4">
        <f>$B$5*G51</f>
        <v/>
      </c>
      <c r="I51" s="4">
        <f>G51-H51-E51</f>
        <v/>
      </c>
      <c r="J51" s="4">
        <f>I51*B51</f>
        <v/>
      </c>
      <c r="K51" s="4">
        <f>SUM($I$31:I51)</f>
        <v/>
      </c>
      <c r="L51" s="4">
        <f>$C$5*G51</f>
        <v/>
      </c>
      <c r="M51" s="4">
        <f>G51-L51-E51</f>
        <v/>
      </c>
      <c r="N51" s="4">
        <f>M51*B51</f>
        <v/>
      </c>
      <c r="O51" s="4">
        <f>SUM($M$31:M51)</f>
        <v/>
      </c>
    </row>
    <row r="52">
      <c r="A52" t="n">
        <v>21</v>
      </c>
      <c r="B52" s="3">
        <f>1/(1+$B$6)^A52</f>
        <v/>
      </c>
      <c r="C52">
        <f>IF(A52&lt;$B$8,1,0)</f>
        <v/>
      </c>
      <c r="D52">
        <f>IF(AND(A52&gt;=$B$8,A52&lt;$B$8+$B$7),1,0)</f>
        <v/>
      </c>
      <c r="E52" s="4">
        <f>C52*$B$9/$B$8</f>
        <v/>
      </c>
      <c r="F52" s="7">
        <f>D52*$B$14</f>
        <v/>
      </c>
      <c r="G52" s="4">
        <f>F52*$B$13/1000</f>
        <v/>
      </c>
      <c r="H52" s="4">
        <f>$B$5*G52</f>
        <v/>
      </c>
      <c r="I52" s="4">
        <f>G52-H52-E52</f>
        <v/>
      </c>
      <c r="J52" s="4">
        <f>I52*B52</f>
        <v/>
      </c>
      <c r="K52" s="4">
        <f>SUM($I$31:I52)</f>
        <v/>
      </c>
      <c r="L52" s="4">
        <f>$C$5*G52</f>
        <v/>
      </c>
      <c r="M52" s="4">
        <f>G52-L52-E52</f>
        <v/>
      </c>
      <c r="N52" s="4">
        <f>M52*B52</f>
        <v/>
      </c>
      <c r="O52" s="4">
        <f>SUM($M$31:M52)</f>
        <v/>
      </c>
    </row>
    <row r="53">
      <c r="A53" t="n">
        <v>22</v>
      </c>
      <c r="B53" s="3">
        <f>1/(1+$B$6)^A53</f>
        <v/>
      </c>
      <c r="C53">
        <f>IF(A53&lt;$B$8,1,0)</f>
        <v/>
      </c>
      <c r="D53">
        <f>IF(AND(A53&gt;=$B$8,A53&lt;$B$8+$B$7),1,0)</f>
        <v/>
      </c>
      <c r="E53" s="4">
        <f>C53*$B$9/$B$8</f>
        <v/>
      </c>
      <c r="F53" s="7">
        <f>D53*$B$14</f>
        <v/>
      </c>
      <c r="G53" s="4">
        <f>F53*$B$13/1000</f>
        <v/>
      </c>
      <c r="H53" s="4">
        <f>$B$5*G53</f>
        <v/>
      </c>
      <c r="I53" s="4">
        <f>G53-H53-E53</f>
        <v/>
      </c>
      <c r="J53" s="4">
        <f>I53*B53</f>
        <v/>
      </c>
      <c r="K53" s="4">
        <f>SUM($I$31:I53)</f>
        <v/>
      </c>
      <c r="L53" s="4">
        <f>$C$5*G53</f>
        <v/>
      </c>
      <c r="M53" s="4">
        <f>G53-L53-E53</f>
        <v/>
      </c>
      <c r="N53" s="4">
        <f>M53*B53</f>
        <v/>
      </c>
      <c r="O53" s="4">
        <f>SUM($M$31:M53)</f>
        <v/>
      </c>
    </row>
    <row r="55">
      <c r="A55" s="2" t="inlineStr">
        <is>
          <t>Sensitivity cases (formula-based). The model reference column is the scratch run of the model on the confirmed basis.</t>
        </is>
      </c>
    </row>
    <row r="56">
      <c r="A56" s="6" t="inlineStr">
        <is>
          <t>Case</t>
        </is>
      </c>
      <c r="B56" s="6" t="inlineStr">
        <is>
          <t>Capex factor</t>
        </is>
      </c>
      <c r="C56" s="6" t="inlineStr">
        <is>
          <t>Opex factor</t>
        </is>
      </c>
      <c r="D56" s="6" t="inlineStr">
        <is>
          <t>Revenue factor</t>
        </is>
      </c>
      <c r="E56" s="6" t="inlineStr">
        <is>
          <t>Opening delay (years)</t>
        </is>
      </c>
      <c r="F56" s="6" t="inlineStr">
        <is>
          <t>Annuity factor AFk</t>
        </is>
      </c>
      <c r="G56" s="6" t="inlineStr">
        <is>
          <t>Operator NPV, confirmed (THB bn)</t>
        </is>
      </c>
      <c r="H56" s="6" t="inlineStr">
        <is>
          <t>Operator NPV, cash basis (THB bn)</t>
        </is>
      </c>
      <c r="I56" s="6" t="inlineStr">
        <is>
          <t>Model reference, confirmed (THB bn)</t>
        </is>
      </c>
      <c r="J56" s="6" t="inlineStr">
        <is>
          <t>Difference (should be about 0)</t>
        </is>
      </c>
    </row>
    <row r="57">
      <c r="A57" t="inlineStr">
        <is>
          <t>base</t>
        </is>
      </c>
      <c r="B57" t="n">
        <v>1</v>
      </c>
      <c r="C57" t="n">
        <v>1</v>
      </c>
      <c r="D57" t="n">
        <v>1</v>
      </c>
      <c r="E57" t="n">
        <v>0</v>
      </c>
      <c r="F57" s="3">
        <f>SUMPRODUCT($B$31:$B$53*($A$31:$A$53&gt;=$B$8+E57)*($A$31:$A$53&lt;$B$8+E57+$B$7))</f>
        <v/>
      </c>
      <c r="G57" s="4">
        <f>(D57-C57*$B$5)*$B$15*F57-B57*$B$27</f>
        <v/>
      </c>
      <c r="H57" s="4">
        <f>(D57-C57*$C$5)*$B$15*F57-B57*$B$27</f>
        <v/>
      </c>
      <c r="I57" s="4" t="n">
        <v>-280.9412696301409</v>
      </c>
      <c r="J57" s="4">
        <f>G57-I57</f>
        <v/>
      </c>
    </row>
    <row r="58">
      <c r="A58" t="inlineStr">
        <is>
          <t>construction cost up 5 percent</t>
        </is>
      </c>
      <c r="B58" t="n">
        <v>1.05</v>
      </c>
      <c r="C58" t="n">
        <v>1</v>
      </c>
      <c r="D58" t="n">
        <v>1</v>
      </c>
      <c r="E58" t="n">
        <v>0</v>
      </c>
      <c r="F58" s="3">
        <f>SUMPRODUCT($B$31:$B$53*($A$31:$A$53&gt;=$B$8+E58)*($A$31:$A$53&lt;$B$8+E58+$B$7))</f>
        <v/>
      </c>
      <c r="G58" s="4">
        <f>(D58-C58*$B$5)*$B$15*F58-B58*$B$27</f>
        <v/>
      </c>
      <c r="H58" s="4">
        <f>(D58-C58*$C$5)*$B$15*F58-B58*$B$27</f>
        <v/>
      </c>
      <c r="I58" s="4" t="n">
        <v>-295.3857140745853</v>
      </c>
      <c r="J58" s="4">
        <f>G58-I58</f>
        <v/>
      </c>
    </row>
    <row r="59">
      <c r="A59" t="inlineStr">
        <is>
          <t>construction cost down 5 percent</t>
        </is>
      </c>
      <c r="B59" t="n">
        <v>0.95</v>
      </c>
      <c r="C59" t="n">
        <v>1</v>
      </c>
      <c r="D59" t="n">
        <v>1</v>
      </c>
      <c r="E59" t="n">
        <v>0</v>
      </c>
      <c r="F59" s="3">
        <f>SUMPRODUCT($B$31:$B$53*($A$31:$A$53&gt;=$B$8+E59)*($A$31:$A$53&lt;$B$8+E59+$B$7))</f>
        <v/>
      </c>
      <c r="G59" s="4">
        <f>(D59-C59*$B$5)*$B$15*F59-B59*$B$27</f>
        <v/>
      </c>
      <c r="H59" s="4">
        <f>(D59-C59*$C$5)*$B$15*F59-B59*$B$27</f>
        <v/>
      </c>
      <c r="I59" s="4" t="n">
        <v>-266.4968251856965</v>
      </c>
      <c r="J59" s="4">
        <f>G59-I59</f>
        <v/>
      </c>
    </row>
    <row r="60">
      <c r="A60" t="inlineStr">
        <is>
          <t>construction cost up 10 percent</t>
        </is>
      </c>
      <c r="B60" t="n">
        <v>1.1</v>
      </c>
      <c r="C60" t="n">
        <v>1</v>
      </c>
      <c r="D60" t="n">
        <v>1</v>
      </c>
      <c r="E60" t="n">
        <v>0</v>
      </c>
      <c r="F60" s="3">
        <f>SUMPRODUCT($B$31:$B$53*($A$31:$A$53&gt;=$B$8+E60)*($A$31:$A$53&lt;$B$8+E60+$B$7))</f>
        <v/>
      </c>
      <c r="G60" s="4">
        <f>(D60-C60*$B$5)*$B$15*F60-B60*$B$27</f>
        <v/>
      </c>
      <c r="H60" s="4">
        <f>(D60-C60*$C$5)*$B$15*F60-B60*$B$27</f>
        <v/>
      </c>
      <c r="I60" s="4" t="n">
        <v>-309.8301585190298</v>
      </c>
      <c r="J60" s="4">
        <f>G60-I60</f>
        <v/>
      </c>
    </row>
    <row r="61">
      <c r="A61" t="inlineStr">
        <is>
          <t>construction cost down 10 percent</t>
        </is>
      </c>
      <c r="B61" t="n">
        <v>0.9</v>
      </c>
      <c r="C61" t="n">
        <v>1</v>
      </c>
      <c r="D61" t="n">
        <v>1</v>
      </c>
      <c r="E61" t="n">
        <v>0</v>
      </c>
      <c r="F61" s="3">
        <f>SUMPRODUCT($B$31:$B$53*($A$31:$A$53&gt;=$B$8+E61)*($A$31:$A$53&lt;$B$8+E61+$B$7))</f>
        <v/>
      </c>
      <c r="G61" s="4">
        <f>(D61-C61*$B$5)*$B$15*F61-B61*$B$27</f>
        <v/>
      </c>
      <c r="H61" s="4">
        <f>(D61-C61*$C$5)*$B$15*F61-B61*$B$27</f>
        <v/>
      </c>
      <c r="I61" s="4" t="n">
        <v>-252.0523807412521</v>
      </c>
      <c r="J61" s="4">
        <f>G61-I61</f>
        <v/>
      </c>
    </row>
    <row r="62">
      <c r="A62" t="inlineStr">
        <is>
          <t>construction cost up 20 percent</t>
        </is>
      </c>
      <c r="B62" t="n">
        <v>1.2</v>
      </c>
      <c r="C62" t="n">
        <v>1</v>
      </c>
      <c r="D62" t="n">
        <v>1</v>
      </c>
      <c r="E62" t="n">
        <v>0</v>
      </c>
      <c r="F62" s="3">
        <f>SUMPRODUCT($B$31:$B$53*($A$31:$A$53&gt;=$B$8+E62)*($A$31:$A$53&lt;$B$8+E62+$B$7))</f>
        <v/>
      </c>
      <c r="G62" s="4">
        <f>(D62-C62*$B$5)*$B$15*F62-B62*$B$27</f>
        <v/>
      </c>
      <c r="H62" s="4">
        <f>(D62-C62*$C$5)*$B$15*F62-B62*$B$27</f>
        <v/>
      </c>
      <c r="I62" s="4" t="n">
        <v>-338.7190474079187</v>
      </c>
      <c r="J62" s="4">
        <f>G62-I62</f>
        <v/>
      </c>
    </row>
    <row r="63">
      <c r="A63" t="inlineStr">
        <is>
          <t>construction cost down 20 percent</t>
        </is>
      </c>
      <c r="B63" t="n">
        <v>0.8</v>
      </c>
      <c r="C63" t="n">
        <v>1</v>
      </c>
      <c r="D63" t="n">
        <v>1</v>
      </c>
      <c r="E63" t="n">
        <v>0</v>
      </c>
      <c r="F63" s="3">
        <f>SUMPRODUCT($B$31:$B$53*($A$31:$A$53&gt;=$B$8+E63)*($A$31:$A$53&lt;$B$8+E63+$B$7))</f>
        <v/>
      </c>
      <c r="G63" s="4">
        <f>(D63-C63*$B$5)*$B$15*F63-B63*$B$27</f>
        <v/>
      </c>
      <c r="H63" s="4">
        <f>(D63-C63*$C$5)*$B$15*F63-B63*$B$27</f>
        <v/>
      </c>
      <c r="I63" s="4" t="n">
        <v>-223.1634918523632</v>
      </c>
      <c r="J63" s="4">
        <f>G63-I63</f>
        <v/>
      </c>
    </row>
    <row r="64">
      <c r="A64" t="inlineStr">
        <is>
          <t>operating and maintenance cost up 5 percent</t>
        </is>
      </c>
      <c r="B64" t="n">
        <v>1</v>
      </c>
      <c r="C64" t="n">
        <v>1.05</v>
      </c>
      <c r="D64" t="n">
        <v>1</v>
      </c>
      <c r="E64" t="n">
        <v>0</v>
      </c>
      <c r="F64" s="3">
        <f>SUMPRODUCT($B$31:$B$53*($A$31:$A$53&gt;=$B$8+E64)*($A$31:$A$53&lt;$B$8+E64+$B$7))</f>
        <v/>
      </c>
      <c r="G64" s="4">
        <f>(D64-C64*$B$5)*$B$15*F64-B64*$B$27</f>
        <v/>
      </c>
      <c r="H64" s="4">
        <f>(D64-C64*$C$5)*$B$15*F64-B64*$B$27</f>
        <v/>
      </c>
      <c r="I64" s="4" t="n">
        <v>-286.9844229125422</v>
      </c>
      <c r="J64" s="4">
        <f>G64-I64</f>
        <v/>
      </c>
    </row>
    <row r="65">
      <c r="A65" t="inlineStr">
        <is>
          <t>operating and maintenance cost down 5 percent</t>
        </is>
      </c>
      <c r="B65" t="n">
        <v>1</v>
      </c>
      <c r="C65" t="n">
        <v>0.95</v>
      </c>
      <c r="D65" t="n">
        <v>1</v>
      </c>
      <c r="E65" t="n">
        <v>0</v>
      </c>
      <c r="F65" s="3">
        <f>SUMPRODUCT($B$31:$B$53*($A$31:$A$53&gt;=$B$8+E65)*($A$31:$A$53&lt;$B$8+E65+$B$7))</f>
        <v/>
      </c>
      <c r="G65" s="4">
        <f>(D65-C65*$B$5)*$B$15*F65-B65*$B$27</f>
        <v/>
      </c>
      <c r="H65" s="4">
        <f>(D65-C65*$C$5)*$B$15*F65-B65*$B$27</f>
        <v/>
      </c>
      <c r="I65" s="4" t="n">
        <v>-274.8981163477397</v>
      </c>
      <c r="J65" s="4">
        <f>G65-I65</f>
        <v/>
      </c>
    </row>
    <row r="66">
      <c r="A66" t="inlineStr">
        <is>
          <t>operating and maintenance cost up 10 percent</t>
        </is>
      </c>
      <c r="B66" t="n">
        <v>1</v>
      </c>
      <c r="C66" t="n">
        <v>1.1</v>
      </c>
      <c r="D66" t="n">
        <v>1</v>
      </c>
      <c r="E66" t="n">
        <v>0</v>
      </c>
      <c r="F66" s="3">
        <f>SUMPRODUCT($B$31:$B$53*($A$31:$A$53&gt;=$B$8+E66)*($A$31:$A$53&lt;$B$8+E66+$B$7))</f>
        <v/>
      </c>
      <c r="G66" s="4">
        <f>(D66-C66*$B$5)*$B$15*F66-B66*$B$27</f>
        <v/>
      </c>
      <c r="H66" s="4">
        <f>(D66-C66*$C$5)*$B$15*F66-B66*$B$27</f>
        <v/>
      </c>
      <c r="I66" s="4" t="n">
        <v>-293.0275761949435</v>
      </c>
      <c r="J66" s="4">
        <f>G66-I66</f>
        <v/>
      </c>
    </row>
    <row r="67">
      <c r="A67" t="inlineStr">
        <is>
          <t>operating and maintenance cost down 10 percent</t>
        </is>
      </c>
      <c r="B67" t="n">
        <v>1</v>
      </c>
      <c r="C67" t="n">
        <v>0.9</v>
      </c>
      <c r="D67" t="n">
        <v>1</v>
      </c>
      <c r="E67" t="n">
        <v>0</v>
      </c>
      <c r="F67" s="3">
        <f>SUMPRODUCT($B$31:$B$53*($A$31:$A$53&gt;=$B$8+E67)*($A$31:$A$53&lt;$B$8+E67+$B$7))</f>
        <v/>
      </c>
      <c r="G67" s="4">
        <f>(D67-C67*$B$5)*$B$15*F67-B67*$B$27</f>
        <v/>
      </c>
      <c r="H67" s="4">
        <f>(D67-C67*$C$5)*$B$15*F67-B67*$B$27</f>
        <v/>
      </c>
      <c r="I67" s="4" t="n">
        <v>-268.8549630653384</v>
      </c>
      <c r="J67" s="4">
        <f>G67-I67</f>
        <v/>
      </c>
    </row>
    <row r="68">
      <c r="A68" t="inlineStr">
        <is>
          <t>operating and maintenance cost up 20 percent</t>
        </is>
      </c>
      <c r="B68" t="n">
        <v>1</v>
      </c>
      <c r="C68" t="n">
        <v>1.2</v>
      </c>
      <c r="D68" t="n">
        <v>1</v>
      </c>
      <c r="E68" t="n">
        <v>0</v>
      </c>
      <c r="F68" s="3">
        <f>SUMPRODUCT($B$31:$B$53*($A$31:$A$53&gt;=$B$8+E68)*($A$31:$A$53&lt;$B$8+E68+$B$7))</f>
        <v/>
      </c>
      <c r="G68" s="4">
        <f>(D68-C68*$B$5)*$B$15*F68-B68*$B$27</f>
        <v/>
      </c>
      <c r="H68" s="4">
        <f>(D68-C68*$C$5)*$B$15*F68-B68*$B$27</f>
        <v/>
      </c>
      <c r="I68" s="4" t="n">
        <v>-305.113882759746</v>
      </c>
      <c r="J68" s="4">
        <f>G68-I68</f>
        <v/>
      </c>
    </row>
    <row r="69">
      <c r="A69" t="inlineStr">
        <is>
          <t>operating and maintenance cost down 20 percent</t>
        </is>
      </c>
      <c r="B69" t="n">
        <v>1</v>
      </c>
      <c r="C69" t="n">
        <v>0.8</v>
      </c>
      <c r="D69" t="n">
        <v>1</v>
      </c>
      <c r="E69" t="n">
        <v>0</v>
      </c>
      <c r="F69" s="3">
        <f>SUMPRODUCT($B$31:$B$53*($A$31:$A$53&gt;=$B$8+E69)*($A$31:$A$53&lt;$B$8+E69+$B$7))</f>
        <v/>
      </c>
      <c r="G69" s="4">
        <f>(D69-C69*$B$5)*$B$15*F69-B69*$B$27</f>
        <v/>
      </c>
      <c r="H69" s="4">
        <f>(D69-C69*$C$5)*$B$15*F69-B69*$B$27</f>
        <v/>
      </c>
      <c r="I69" s="4" t="n">
        <v>-256.7686565005357</v>
      </c>
      <c r="J69" s="4">
        <f>G69-I69</f>
        <v/>
      </c>
    </row>
    <row r="70">
      <c r="A70" t="inlineStr">
        <is>
          <t>revenue up 5 percent</t>
        </is>
      </c>
      <c r="B70" t="n">
        <v>1</v>
      </c>
      <c r="C70" t="n">
        <v>1</v>
      </c>
      <c r="D70" t="n">
        <v>1.05</v>
      </c>
      <c r="E70" t="n">
        <v>0</v>
      </c>
      <c r="F70" s="3">
        <f>SUMPRODUCT($B$31:$B$53*($A$31:$A$53&gt;=$B$8+E70)*($A$31:$A$53&lt;$B$8+E70+$B$7))</f>
        <v/>
      </c>
      <c r="G70" s="4">
        <f>(D70-C70*$B$5)*$B$15*F70-B70*$B$27</f>
        <v/>
      </c>
      <c r="H70" s="4">
        <f>(D70-C70*$C$5)*$B$15*F70-B70*$B$27</f>
        <v/>
      </c>
      <c r="I70" s="4" t="n">
        <v>-274.5007353848023</v>
      </c>
      <c r="J70" s="4">
        <f>G70-I70</f>
        <v/>
      </c>
    </row>
    <row r="71">
      <c r="A71" t="inlineStr">
        <is>
          <t>revenue down 5 percent</t>
        </is>
      </c>
      <c r="B71" t="n">
        <v>1</v>
      </c>
      <c r="C71" t="n">
        <v>1</v>
      </c>
      <c r="D71" t="n">
        <v>0.95</v>
      </c>
      <c r="E71" t="n">
        <v>0</v>
      </c>
      <c r="F71" s="3">
        <f>SUMPRODUCT($B$31:$B$53*($A$31:$A$53&gt;=$B$8+E71)*($A$31:$A$53&lt;$B$8+E71+$B$7))</f>
        <v/>
      </c>
      <c r="G71" s="4">
        <f>(D71-C71*$B$5)*$B$15*F71-B71*$B$27</f>
        <v/>
      </c>
      <c r="H71" s="4">
        <f>(D71-C71*$C$5)*$B$15*F71-B71*$B$27</f>
        <v/>
      </c>
      <c r="I71" s="4" t="n">
        <v>-287.3818038754797</v>
      </c>
      <c r="J71" s="4">
        <f>G71-I71</f>
        <v/>
      </c>
    </row>
    <row r="72">
      <c r="A72" t="inlineStr">
        <is>
          <t>revenue up 10 percent</t>
        </is>
      </c>
      <c r="B72" t="n">
        <v>1</v>
      </c>
      <c r="C72" t="n">
        <v>1</v>
      </c>
      <c r="D72" t="n">
        <v>1.1</v>
      </c>
      <c r="E72" t="n">
        <v>0</v>
      </c>
      <c r="F72" s="3">
        <f>SUMPRODUCT($B$31:$B$53*($A$31:$A$53&gt;=$B$8+E72)*($A$31:$A$53&lt;$B$8+E72+$B$7))</f>
        <v/>
      </c>
      <c r="G72" s="4">
        <f>(D72-C72*$B$5)*$B$15*F72-B72*$B$27</f>
        <v/>
      </c>
      <c r="H72" s="4">
        <f>(D72-C72*$C$5)*$B$15*F72-B72*$B$27</f>
        <v/>
      </c>
      <c r="I72" s="4" t="n">
        <v>-268.0602011394636</v>
      </c>
      <c r="J72" s="4">
        <f>G72-I72</f>
        <v/>
      </c>
    </row>
    <row r="73">
      <c r="A73" t="inlineStr">
        <is>
          <t>revenue down 10 percent</t>
        </is>
      </c>
      <c r="B73" t="n">
        <v>1</v>
      </c>
      <c r="C73" t="n">
        <v>1</v>
      </c>
      <c r="D73" t="n">
        <v>0.9</v>
      </c>
      <c r="E73" t="n">
        <v>0</v>
      </c>
      <c r="F73" s="3">
        <f>SUMPRODUCT($B$31:$B$53*($A$31:$A$53&gt;=$B$8+E73)*($A$31:$A$53&lt;$B$8+E73+$B$7))</f>
        <v/>
      </c>
      <c r="G73" s="4">
        <f>(D73-C73*$B$5)*$B$15*F73-B73*$B$27</f>
        <v/>
      </c>
      <c r="H73" s="4">
        <f>(D73-C73*$C$5)*$B$15*F73-B73*$B$27</f>
        <v/>
      </c>
      <c r="I73" s="4" t="n">
        <v>-293.8223381208183</v>
      </c>
      <c r="J73" s="4">
        <f>G73-I73</f>
        <v/>
      </c>
    </row>
    <row r="74">
      <c r="A74" t="inlineStr">
        <is>
          <t>revenue up 20 percent</t>
        </is>
      </c>
      <c r="B74" t="n">
        <v>1</v>
      </c>
      <c r="C74" t="n">
        <v>1</v>
      </c>
      <c r="D74" t="n">
        <v>1.2</v>
      </c>
      <c r="E74" t="n">
        <v>0</v>
      </c>
      <c r="F74" s="3">
        <f>SUMPRODUCT($B$31:$B$53*($A$31:$A$53&gt;=$B$8+E74)*($A$31:$A$53&lt;$B$8+E74+$B$7))</f>
        <v/>
      </c>
      <c r="G74" s="4">
        <f>(D74-C74*$B$5)*$B$15*F74-B74*$B$27</f>
        <v/>
      </c>
      <c r="H74" s="4">
        <f>(D74-C74*$C$5)*$B$15*F74-B74*$B$27</f>
        <v/>
      </c>
      <c r="I74" s="4" t="n">
        <v>-255.1791326487862</v>
      </c>
      <c r="J74" s="4">
        <f>G74-I74</f>
        <v/>
      </c>
    </row>
    <row r="75">
      <c r="A75" t="inlineStr">
        <is>
          <t>revenue down 20 percent</t>
        </is>
      </c>
      <c r="B75" t="n">
        <v>1</v>
      </c>
      <c r="C75" t="n">
        <v>1</v>
      </c>
      <c r="D75" t="n">
        <v>0.8</v>
      </c>
      <c r="E75" t="n">
        <v>0</v>
      </c>
      <c r="F75" s="3">
        <f>SUMPRODUCT($B$31:$B$53*($A$31:$A$53&gt;=$B$8+E75)*($A$31:$A$53&lt;$B$8+E75+$B$7))</f>
        <v/>
      </c>
      <c r="G75" s="4">
        <f>(D75-C75*$B$5)*$B$15*F75-B75*$B$27</f>
        <v/>
      </c>
      <c r="H75" s="4">
        <f>(D75-C75*$C$5)*$B$15*F75-B75*$B$27</f>
        <v/>
      </c>
      <c r="I75" s="4" t="n">
        <v>-306.7034066114956</v>
      </c>
      <c r="J75" s="4">
        <f>G75-I75</f>
        <v/>
      </c>
    </row>
    <row r="76">
      <c r="A76" t="inlineStr">
        <is>
          <t>two factors: construction cost up 5 percent and revenue down 5 percent</t>
        </is>
      </c>
      <c r="B76" t="n">
        <v>1.05</v>
      </c>
      <c r="C76" t="n">
        <v>1</v>
      </c>
      <c r="D76" t="n">
        <v>0.95</v>
      </c>
      <c r="E76" t="n">
        <v>0</v>
      </c>
      <c r="F76" s="3">
        <f>SUMPRODUCT($B$31:$B$53*($A$31:$A$53&gt;=$B$8+E76)*($A$31:$A$53&lt;$B$8+E76+$B$7))</f>
        <v/>
      </c>
      <c r="G76" s="4">
        <f>(D76-C76*$B$5)*$B$15*F76-B76*$B$27</f>
        <v/>
      </c>
      <c r="H76" s="4">
        <f>(D76-C76*$C$5)*$B$15*F76-B76*$B$27</f>
        <v/>
      </c>
      <c r="I76" s="4" t="n">
        <v>-301.8262483199242</v>
      </c>
      <c r="J76" s="4">
        <f>G76-I76</f>
        <v/>
      </c>
    </row>
    <row r="77">
      <c r="A77" t="inlineStr">
        <is>
          <t>two factors: construction cost down 5 percent and revenue up 5 percent</t>
        </is>
      </c>
      <c r="B77" t="n">
        <v>0.95</v>
      </c>
      <c r="C77" t="n">
        <v>1</v>
      </c>
      <c r="D77" t="n">
        <v>1.05</v>
      </c>
      <c r="E77" t="n">
        <v>0</v>
      </c>
      <c r="F77" s="3">
        <f>SUMPRODUCT($B$31:$B$53*($A$31:$A$53&gt;=$B$8+E77)*($A$31:$A$53&lt;$B$8+E77+$B$7))</f>
        <v/>
      </c>
      <c r="G77" s="4">
        <f>(D77-C77*$B$5)*$B$15*F77-B77*$B$27</f>
        <v/>
      </c>
      <c r="H77" s="4">
        <f>(D77-C77*$C$5)*$B$15*F77-B77*$B$27</f>
        <v/>
      </c>
      <c r="I77" s="4" t="n">
        <v>-260.0562909403578</v>
      </c>
      <c r="J77" s="4">
        <f>G77-I77</f>
        <v/>
      </c>
    </row>
    <row r="78">
      <c r="A78" t="inlineStr">
        <is>
          <t>two factors: construction cost up 10 percent and revenue down 10 percent</t>
        </is>
      </c>
      <c r="B78" t="n">
        <v>1.1</v>
      </c>
      <c r="C78" t="n">
        <v>1</v>
      </c>
      <c r="D78" t="n">
        <v>0.9</v>
      </c>
      <c r="E78" t="n">
        <v>0</v>
      </c>
      <c r="F78" s="3">
        <f>SUMPRODUCT($B$31:$B$53*($A$31:$A$53&gt;=$B$8+E78)*($A$31:$A$53&lt;$B$8+E78+$B$7))</f>
        <v/>
      </c>
      <c r="G78" s="4">
        <f>(D78-C78*$B$5)*$B$15*F78-B78*$B$27</f>
        <v/>
      </c>
      <c r="H78" s="4">
        <f>(D78-C78*$C$5)*$B$15*F78-B78*$B$27</f>
        <v/>
      </c>
      <c r="I78" s="4" t="n">
        <v>-322.7112270097072</v>
      </c>
      <c r="J78" s="4">
        <f>G78-I78</f>
        <v/>
      </c>
    </row>
    <row r="79">
      <c r="A79" t="inlineStr">
        <is>
          <t>two factors: construction cost down 10 percent and revenue up 10 percent</t>
        </is>
      </c>
      <c r="B79" t="n">
        <v>0.9</v>
      </c>
      <c r="C79" t="n">
        <v>1</v>
      </c>
      <c r="D79" t="n">
        <v>1.1</v>
      </c>
      <c r="E79" t="n">
        <v>0</v>
      </c>
      <c r="F79" s="3">
        <f>SUMPRODUCT($B$31:$B$53*($A$31:$A$53&gt;=$B$8+E79)*($A$31:$A$53&lt;$B$8+E79+$B$7))</f>
        <v/>
      </c>
      <c r="G79" s="4">
        <f>(D79-C79*$B$5)*$B$15*F79-B79*$B$27</f>
        <v/>
      </c>
      <c r="H79" s="4">
        <f>(D79-C79*$C$5)*$B$15*F79-B79*$B$27</f>
        <v/>
      </c>
      <c r="I79" s="4" t="n">
        <v>-239.1713122505746</v>
      </c>
      <c r="J79" s="4">
        <f>G79-I79</f>
        <v/>
      </c>
    </row>
    <row r="80">
      <c r="A80" t="inlineStr">
        <is>
          <t>two factors: construction cost up 20 percent and revenue down 20 percent</t>
        </is>
      </c>
      <c r="B80" t="n">
        <v>1.2</v>
      </c>
      <c r="C80" t="n">
        <v>1</v>
      </c>
      <c r="D80" t="n">
        <v>0.8</v>
      </c>
      <c r="E80" t="n">
        <v>0</v>
      </c>
      <c r="F80" s="3">
        <f>SUMPRODUCT($B$31:$B$53*($A$31:$A$53&gt;=$B$8+E80)*($A$31:$A$53&lt;$B$8+E80+$B$7))</f>
        <v/>
      </c>
      <c r="G80" s="4">
        <f>(D80-C80*$B$5)*$B$15*F80-B80*$B$27</f>
        <v/>
      </c>
      <c r="H80" s="4">
        <f>(D80-C80*$C$5)*$B$15*F80-B80*$B$27</f>
        <v/>
      </c>
      <c r="I80" s="4" t="n">
        <v>-364.4811843892734</v>
      </c>
      <c r="J80" s="4">
        <f>G80-I80</f>
        <v/>
      </c>
    </row>
    <row r="81">
      <c r="A81" t="inlineStr">
        <is>
          <t>two factors: construction cost down 20 percent and revenue up 20 percent</t>
        </is>
      </c>
      <c r="B81" t="n">
        <v>0.8</v>
      </c>
      <c r="C81" t="n">
        <v>1</v>
      </c>
      <c r="D81" t="n">
        <v>1.2</v>
      </c>
      <c r="E81" t="n">
        <v>0</v>
      </c>
      <c r="F81" s="3">
        <f>SUMPRODUCT($B$31:$B$53*($A$31:$A$53&gt;=$B$8+E81)*($A$31:$A$53&lt;$B$8+E81+$B$7))</f>
        <v/>
      </c>
      <c r="G81" s="4">
        <f>(D81-C81*$B$5)*$B$15*F81-B81*$B$27</f>
        <v/>
      </c>
      <c r="H81" s="4">
        <f>(D81-C81*$C$5)*$B$15*F81-B81*$B$27</f>
        <v/>
      </c>
      <c r="I81" s="4" t="n">
        <v>-197.4013548710084</v>
      </c>
      <c r="J81" s="4">
        <f>G81-I81</f>
        <v/>
      </c>
    </row>
    <row r="82">
      <c r="A82" t="inlineStr">
        <is>
          <t>one-year delay in opening</t>
        </is>
      </c>
      <c r="B82" t="n">
        <v>1</v>
      </c>
      <c r="C82" t="n">
        <v>1</v>
      </c>
      <c r="D82" t="n">
        <v>1</v>
      </c>
      <c r="E82" t="n">
        <v>1</v>
      </c>
      <c r="F82" s="3">
        <f>SUMPRODUCT($B$31:$B$53*($A$31:$A$53&gt;=$B$8+E82)*($A$31:$A$53&lt;$B$8+E82+$B$7))</f>
        <v/>
      </c>
      <c r="G82" s="4">
        <f>(D82-C82*$B$5)*$B$15*F82-B82*$B$27</f>
        <v/>
      </c>
      <c r="H82" s="4">
        <f>(D82-C82*$C$5)*$B$15*F82-B82*$B$27</f>
        <v/>
      </c>
      <c r="I82" s="4" t="n">
        <v>-281.5299821678259</v>
      </c>
      <c r="J82" s="4">
        <f>G82-I82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2" t="inlineStr">
        <is>
          <t>Charts built from the Appraisal sheet (native Excel charts linked to the cells, so they update with the inputs)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2026-10-20T17:04:20Z</dcterms:created>
  <dcterms:modified xmlns:dcterms="http://purl.org/dc/terms/" xmlns:xsi="http://www.w3.org/2001/XMLSchema-instance" xsi:type="dcterms:W3CDTF">2026-10-20T17:04:20Z</dcterms:modified>
</cp:coreProperties>
</file>