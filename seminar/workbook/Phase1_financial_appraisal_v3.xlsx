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mp\claude\C--Users-user-AppData-Roaming-Claude-scratch-workspaces-c7acaf2f-ed5f-4f26-814b-0755985b8641-704b7f5d-017e-4c68-a76d-e0c46600fd5a-scratch-2026-10-16-ee569e\885493fd-7279-48f0-8993-cb2538820dce\scratchpad\"/>
    </mc:Choice>
  </mc:AlternateContent>
  <xr:revisionPtr revIDLastSave="0" documentId="13_ncr:1_{508BAA86-9B43-4AD2-9502-D3077BD12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  <sheet name="Appraisal" sheetId="2" r:id="rId2"/>
    <sheet name="Charts" sheetId="3" r:id="rId3"/>
  </sheets>
  <calcPr calcId="191029" fullCalcOnLoad="1"/>
</workbook>
</file>

<file path=xl/sharedStrings.xml><?xml version="1.0" encoding="utf-8"?>
<sst xmlns="http://schemas.openxmlformats.org/spreadsheetml/2006/main" count="666" uniqueCount="438">
  <si>
    <t>Parameter</t>
  </si>
  <si>
    <t>Unit</t>
  </si>
  <si>
    <t>Value (base case)</t>
  </si>
  <si>
    <t>Low case</t>
  </si>
  <si>
    <t>High case</t>
  </si>
  <si>
    <t>Source</t>
  </si>
  <si>
    <t>THB bn</t>
  </si>
  <si>
    <t>Capex park high thb bn</t>
  </si>
  <si>
    <t>Thai park proposal, news reports (12 and 15 May 2026)</t>
  </si>
  <si>
    <t>Capex park low thb bn</t>
  </si>
  <si>
    <t>Thai park proposal, news report (27 March 2026)</t>
  </si>
  <si>
    <t>Claim additional visitors million per year</t>
  </si>
  <si>
    <t>million visits per year</t>
  </si>
  <si>
    <t>Thai government proposal claims, news reports (2026)</t>
  </si>
  <si>
    <t>Claim revenue thb bn</t>
  </si>
  <si>
    <t>Claim share of gdp percent per year</t>
  </si>
  <si>
    <t>percent per year of GDP growth</t>
  </si>
  <si>
    <t>Discount rate eirr standard</t>
  </si>
  <si>
    <t>rate</t>
  </si>
  <si>
    <t>ADB (2017) Guidelines for the Economic Analysis of Projects, paragraph 194 (printed page 53); DOI. http://dx.doi.org/10.22617/TIM178607-2</t>
  </si>
  <si>
    <t>Discount rate eirr social sector</t>
  </si>
  <si>
    <t>Discount rate social nesdc</t>
  </si>
  <si>
    <t>NESDC (2024) Guide to Public Investment Project Appraisal, section 6.2.2 (PDF page 28); range in section 6.2.1 (PDF page 26); URL. https://www.nesdc.go.th/wp-content/uploads/2025/05/article_20241009124821.pdf</t>
  </si>
  <si>
    <t>Discount rate social nesdc pre2025</t>
  </si>
  <si>
    <t>NESDC (2024) Guide to Public Investment Project Appraisal, section 6.2.2 (PDF page 28); URL. https://www.nesdc.go.th/wp-content/uploads/2025/05/article_20241009124821.pdf</t>
  </si>
  <si>
    <t>Conversion factor standard</t>
  </si>
  <si>
    <t>ratio</t>
  </si>
  <si>
    <t>NESDC (2024) Guide to Public Investment Project Appraisal, summary of changes (PDF page 5); used when shadow prices cannot be computed; URL. https://www.nesdc.go.th/wp-content/uploads/2025/05/article_20241009124821.pdf</t>
  </si>
  <si>
    <t>Project life years</t>
  </si>
  <si>
    <t>years</t>
  </si>
  <si>
    <t>NESDC Requirement</t>
  </si>
  <si>
    <t>Wacc financial</t>
  </si>
  <si>
    <t>Attendance million per year</t>
  </si>
  <si>
    <t>NESDC Assumption</t>
  </si>
  <si>
    <t>Incremental share</t>
  </si>
  <si>
    <t>share</t>
  </si>
  <si>
    <t>Displacement share</t>
  </si>
  <si>
    <t>Spend per visit thb</t>
  </si>
  <si>
    <t>THB per incremental visit</t>
  </si>
  <si>
    <t>NESDC Assumption (base and high); Oriental Land Co., Tokyo Disney Resort FY3/2026, on-site spending per guest (low)</t>
  </si>
  <si>
    <t>Domestic retention share</t>
  </si>
  <si>
    <t>Tax share of spend</t>
  </si>
  <si>
    <t>share of net spending</t>
  </si>
  <si>
    <t>NESDC Assumption; VAT rate, Revenue Department, https://www.rd.go.th/english/37732.html</t>
  </si>
  <si>
    <t>Opex thb bn per year</t>
  </si>
  <si>
    <t>THB bn per year</t>
  </si>
  <si>
    <t>Exchange rate thb per usd</t>
  </si>
  <si>
    <t>THB per USD</t>
  </si>
  <si>
    <t>https://app.bot.or.th/BTWS_STAT/statistics/BOTWEBSTAT.aspx?reportID=123&amp;language=ENG</t>
  </si>
  <si>
    <t>Utapao passengers calendar 2024</t>
  </si>
  <si>
    <t>passengers</t>
  </si>
  <si>
    <t>https://datagov.mot.go.th/en/api/3/action/datastore_search?resource_id=3854cc5d-5e79-4450-a29f-2183242fc92c</t>
  </si>
  <si>
    <t>Utapao passengers oct2023 sep2024</t>
  </si>
  <si>
    <t>https://www.uta.co.th/airport-airportcity/airport-terminal</t>
  </si>
  <si>
    <t>Utapao passengers 2019</t>
  </si>
  <si>
    <t>Utapao terminal capacity passengers per year</t>
  </si>
  <si>
    <t>passengers per year</t>
  </si>
  <si>
    <t>U-Tapao Airport and Eastern Aviation City, EEC Office. https://www.eeco.or.th/en/u-tapao-airport-and-eastern-aviation-city/</t>
  </si>
  <si>
    <t>Utapao project max capacity passengers per year</t>
  </si>
  <si>
    <t>Suvarnabhumi passengers 2019</t>
  </si>
  <si>
    <t>https://www.airportthai.co.th/wp-content/uploads/2026/06/ANNUAL-REPORT-2025.pdf</t>
  </si>
  <si>
    <t>Suvarnabhumi passengers calendar 2024</t>
  </si>
  <si>
    <t>https://investor.airportthai.co.th/misc/statistic/2025/20250117-aot-traffic-fiscal-2024-12m.pdf</t>
  </si>
  <si>
    <t>Don mueang passengers calendar 2024</t>
  </si>
  <si>
    <t>Don mueang passengers 2019</t>
  </si>
  <si>
    <t>Don mueang design capacity passengers per year</t>
  </si>
  <si>
    <t>https://donmueang.airportthai.co.th/about-us</t>
  </si>
  <si>
    <t>Aot six airports passengers fy2023</t>
  </si>
  <si>
    <t>https://investor.airportthai.co.th/misc/statistic/2023/20231017-aot-traffic-fiscal-2023-12m.pdf</t>
  </si>
  <si>
    <t>Aot six airports passengers calendar 2024 2025</t>
  </si>
  <si>
    <t>Hotel guesthouse rooms 2022</t>
  </si>
  <si>
    <t>rooms</t>
  </si>
  <si>
    <t>Statistical Yearbook Thailand 2024, Table 17.4 Principal Statistics on Hotels and Guest House Establishment (NSO). https://www.nso.go.th/public/e-book/Statistical-Yearbook/SYB-2024/543</t>
  </si>
  <si>
    <t>Hotel guesthouse establishments 2022</t>
  </si>
  <si>
    <t>establishments</t>
  </si>
  <si>
    <t>Statistical Yearbook Thailand 2024, Table 17.4 (NSO). https://www.nso.go.th/public/e-book/Statistical-Yearbook/SYB-2024/543</t>
  </si>
  <si>
    <t>Hotel guesthouse rooms 2019</t>
  </si>
  <si>
    <t>https://www.nso.go.th/public/e-book/Statistical-Yearbook/SYB-2024/532</t>
  </si>
  <si>
    <t>Chonburi accommodation rooms 2024 or 2025</t>
  </si>
  <si>
    <t>CBRE, Pattaya Overall Figures H2 2024, https://www.cbre.com/insights/figures/pattaya-overall-figures-h2-2024</t>
  </si>
  <si>
    <t>Pattaya hotel keys h2 2024</t>
  </si>
  <si>
    <t>hotel keys (rooms)</t>
  </si>
  <si>
    <t>Pattaya Overall Figures H2 2024, CBRE Thailand. https://www.cbre.com/insights/figures/pattaya-overall-figures-h2-2024</t>
  </si>
  <si>
    <t>Pattaya hotel keys h2 2025</t>
  </si>
  <si>
    <t>Pattaya Overall Figures H2 2025, CBRE. https://www.cbre.com/insights/figures/pattaya-overall-figures-h2-2025</t>
  </si>
  <si>
    <t>Pattaya occupancy 2024 cbre</t>
  </si>
  <si>
    <t>percent</t>
  </si>
  <si>
    <t>Chonburi occupancy 2024 tat</t>
  </si>
  <si>
    <t>https://www.nso.go.th/nsoweb/downloadFile/stat_main_nso/FgpN/file_th</t>
  </si>
  <si>
    <t>Pattaya occupancy 2025</t>
  </si>
  <si>
    <t>percent (H2 2025 only)</t>
  </si>
  <si>
    <t>https://mktgdocs.cbre.com/2299/175bc843-73b5-4940-a859-14bd0f57a6a1-1295998069/Pattaya-Overall-Figures-H2-202.pdf</t>
  </si>
  <si>
    <t>Chonburi occupancy 2019 tat</t>
  </si>
  <si>
    <t>No external source located</t>
  </si>
  <si>
    <t>Chonburi tourists jan nov 2024</t>
  </si>
  <si>
    <t>persons</t>
  </si>
  <si>
    <t>Chonburi foreign visitors jan nov 2024</t>
  </si>
  <si>
    <t>Chonburi foreign arrivals 2024 full year</t>
  </si>
  <si>
    <t>https://intelligencecenter.tat.or.th/articles/9907</t>
  </si>
  <si>
    <t>Chonburi foreign arrivals 2019</t>
  </si>
  <si>
    <t>Utapao expansion progress overall percent</t>
  </si>
  <si>
    <t>percent complete</t>
  </si>
  <si>
    <t>https://www.eeco.or.th/en/u-tapao-airport-and-eastern-aviation-city/</t>
  </si>
  <si>
    <t>Utapao expansion opening year</t>
  </si>
  <si>
    <t>calendar year</t>
  </si>
  <si>
    <t>https://www.britishaviationgroup.co.uk/?p=24880</t>
  </si>
  <si>
    <t>High speed rail full service year eeco</t>
  </si>
  <si>
    <t>High-speed rail linking three airports, EEC Office. https://www.eeco.or.th/en/high-speed-rail-linking-three-airports/</t>
  </si>
  <si>
    <t>High speed rail full service year wikipedia</t>
  </si>
  <si>
    <t>Don Mueang-Suvarnabhumi-U-Tapao high-speed railway, Wikipedia. https://en.wikipedia.org/wiki/Don_Mueang%E2%80%93Suvarnabhumi%E2%80%93U-Tapao_high-speed_railway</t>
  </si>
  <si>
    <t>High speed rail status sep 2026</t>
  </si>
  <si>
    <t>text</t>
  </si>
  <si>
    <t>Uttapao and High-Speed Rail: EEC's Make-or-Break Infrastructure Bet, Nation Thailand (7 Sep 2026). https://www.nationthailand.com/business/economy/40070765</t>
  </si>
  <si>
    <t>Motorway7 utapao extension length km</t>
  </si>
  <si>
    <t>kilometres</t>
  </si>
  <si>
    <t>ADB news release, Thailand EEC infrastructure, 6 June 2025. https://www.adb.org/news/adb-supports-resilient-infrastructure-development-eastern-thailand</t>
  </si>
  <si>
    <t>Motorway7 utapao extension completion year</t>
  </si>
  <si>
    <t>https://www.thansettakij.com/economy/megaproject/630463</t>
  </si>
  <si>
    <t>Pattaya map ta phut motorway7 opening year</t>
  </si>
  <si>
    <t>calendar year (opened August 2020)</t>
  </si>
  <si>
    <t>Thai Prime Minister opens Pattaya-Map Ta Phut Highway, Pattaya Mail (24 Aug 2020). https://www.pattayamail.com/news/thai-prime-minister-opens-pattaya-map-ta-phut-highway-312223</t>
  </si>
  <si>
    <t>Tat spend per trip all nationalities 2023</t>
  </si>
  <si>
    <t>THB per trip</t>
  </si>
  <si>
    <t>Tat spend per trip middle eastern 2023</t>
  </si>
  <si>
    <t>THB per person per trip</t>
  </si>
  <si>
    <t>Tat spend per day uae 2023</t>
  </si>
  <si>
    <t>THB per person per day</t>
  </si>
  <si>
    <t>Tat spend per night by nationality 2024 2025</t>
  </si>
  <si>
    <t>THB per person per night</t>
  </si>
  <si>
    <t>Tat spend per trip by nationality 2024 2025 official</t>
  </si>
  <si>
    <t>https://www.tatnews.org/?p=84576</t>
  </si>
  <si>
    <t>Mots spend per trip all tourists 2019</t>
  </si>
  <si>
    <t>THB per international tourist per trip</t>
  </si>
  <si>
    <t>https://www.mots.go.th/download/article/article_20200123132729.pdf</t>
  </si>
  <si>
    <t>Mots spend per day all tourists 2019</t>
  </si>
  <si>
    <t>THB per international tourist per day</t>
  </si>
  <si>
    <t>https://www.mots.go.th/download/article/article_20201104090605.pdf</t>
  </si>
  <si>
    <t>Intl avg length of stay 2016 days</t>
  </si>
  <si>
    <t>days</t>
  </si>
  <si>
    <t>https://www.nso.go.th/public/e-book/Indicators-Economic/Indicators-Economic-2562/files/assets/basic-html/page134.html</t>
  </si>
  <si>
    <t>Intl avg length of stay 2024 days</t>
  </si>
  <si>
    <t>https://www.mots.go.th/images/v2022_c1331820-8936-4423-84cd-65278cebf658.xlsx</t>
  </si>
  <si>
    <t>Intl first visit share 2024</t>
  </si>
  <si>
    <t>percent of international arrivals on first visit</t>
  </si>
  <si>
    <t>Thai domestic spend per trip 2024</t>
  </si>
  <si>
    <t>THB per person per domestic trip</t>
  </si>
  <si>
    <t>Thai resident attraction visit share 2024</t>
  </si>
  <si>
    <t>percent of attraction visits by Thai residents</t>
  </si>
  <si>
    <t>Intl arrivals 2025</t>
  </si>
  <si>
    <t>https://www.mots.go.th/images/v2022_5a7fbad7-1fcf-4410-a387-f29bb17486e2.xlsx</t>
  </si>
  <si>
    <t>Intl arrivals 2024</t>
  </si>
  <si>
    <t>https://www.mots.go.th/images/v2022_875a5789-3bcc-4700-bf55-b86fa7f1053c.xlsx</t>
  </si>
  <si>
    <t>Intl arrivals 2019</t>
  </si>
  <si>
    <t>https://www.mots.go.th/download/article/article_20201103140333.xlsx</t>
  </si>
  <si>
    <t>Intl arrivals 2020</t>
  </si>
  <si>
    <t>https://www.nso.go.th/public/e-book/Indicators-Economic/Thai_Economic_Indicators_2025/158</t>
  </si>
  <si>
    <t>Intl tourism receipts 2025 mots</t>
  </si>
  <si>
    <t>Intl tourism receipts 2024 mots</t>
  </si>
  <si>
    <t>Intl tourism receipts usd wdi 2019</t>
  </si>
  <si>
    <t>US$ bn</t>
  </si>
  <si>
    <t>World Bank API, indicator ST.INT.TVLR.CD (international tourism receipts for travel items), Thailand. https://api.worldbank.org/v2/country/THA/indicator/ST.INT.TVLR.CD?format=json&amp;date=2015:2025&amp;per_page=100</t>
  </si>
  <si>
    <t>Intl tourism receipts usd wdi 2020</t>
  </si>
  <si>
    <t>Intl tourism receipts bot thb bn 2019 2025</t>
  </si>
  <si>
    <t>Ticket price ocean park adult hkd</t>
  </si>
  <si>
    <t>HK$ per adult admission</t>
  </si>
  <si>
    <t>Australasian Leisure Management, Ocean Park entrance prices (2019), https://www.ausleisure.com.au/news/entrance-prices-at-hong-kongs-ocean-park-rise-by-4</t>
  </si>
  <si>
    <t>Ticket price universal studios singapore adult sgd</t>
  </si>
  <si>
    <t>SGD per adult ticket</t>
  </si>
  <si>
    <t>https://www.rwsentosa.com/en/play/universal-studios-singapore/tickets</t>
  </si>
  <si>
    <t>Tsa attraction recreation spending share 2022</t>
  </si>
  <si>
    <t>percent of visitor spending on attractions or recreation</t>
  </si>
  <si>
    <t>Hk disneyland attendance fy2019</t>
  </si>
  <si>
    <t>million visitors</t>
  </si>
  <si>
    <t>https://hkcorporate.hongkongdisneyland.com/pdf/AnnualBusinessReview19.pdf</t>
  </si>
  <si>
    <t>Hk disneyland attendance fy2024</t>
  </si>
  <si>
    <t>https://hkcorporate.hongkongdisneyland.com/pdf/AnnualBusinessReview24.pdf</t>
  </si>
  <si>
    <t>Hk disneyland attendance fy2025</t>
  </si>
  <si>
    <t>https://news.hongkongdisneyland.com/en/press/2026-04-28/</t>
  </si>
  <si>
    <t>Hk disneyland revenue fy2025 hkd m</t>
  </si>
  <si>
    <t>HK$ million</t>
  </si>
  <si>
    <t>https://hkcorporate.hongkongdisneyland.com/pdf/AnnualBusinessReview25.pdf</t>
  </si>
  <si>
    <t>Hk disneyland net profit fy2025 hkd m</t>
  </si>
  <si>
    <t>Hk disneyland adult ticket tier1 hkd</t>
  </si>
  <si>
    <t>HK$ per adult ticket</t>
  </si>
  <si>
    <t>https://www.hongkongdisneyland.com/offers-discounts/travel-industry-salute/</t>
  </si>
  <si>
    <t>Hk disneyland adult ticket tier4 peak hkd</t>
  </si>
  <si>
    <t>Hk disneyland visitor share local fy2019</t>
  </si>
  <si>
    <t>percent of attendance</t>
  </si>
  <si>
    <t>Hk disneyland visitor share mainland fy2019</t>
  </si>
  <si>
    <t>Hk disneyland visitor share other fy2019</t>
  </si>
  <si>
    <t>Ocean park attendance fy2024 25</t>
  </si>
  <si>
    <t>https://corporate.oceanpark.com.hk/en/media-partnerships/press-release/</t>
  </si>
  <si>
    <t>Ocean park non local visitors fy2024 25</t>
  </si>
  <si>
    <t>Ocean park attendance fy2018 19</t>
  </si>
  <si>
    <t>Ocean Park announces financial results for fiscal year ending 30 June 2019, attendance paragraph. https://www.oceanpark.com.hk/en/press-release/ocean-park-announces-financial-results-for-fiscal-year-ending-30-june-2019</t>
  </si>
  <si>
    <t>Ocean park revenue fy2024 25 hkd m</t>
  </si>
  <si>
    <t>https://www.thestandard.com.hk/news/article/314853/Ocean-Park-reports-2747mn-losses-despite-revenue-growth-driven-by-giant-pandas</t>
  </si>
  <si>
    <t>Ocean park net loss fy2024 25 hkd m</t>
  </si>
  <si>
    <t>Ocean park revenue fy2018 19 hkd m</t>
  </si>
  <si>
    <t>Ocean Park announces financial results for fiscal year ending 30 June 2019, results announcement. https://www.oceanpark.com.hk/en/press-release/ocean-park-announces-financial-results-for-fiscal-year-ending-30-june-2019</t>
  </si>
  <si>
    <t>Ocean park total operating expenses fy2024 25 hkd m</t>
  </si>
  <si>
    <t>Derived from Ocean Park FY2024/25 revenue and net loss, https://corporate.oceanpark.com.hk/en/media-partnerships/press-release/</t>
  </si>
  <si>
    <t>Ocean park total operating expenses fy2018 19 hkd m</t>
  </si>
  <si>
    <t>Ocean Park Corporation, Annual Report 2018-2019, Income and Expenditure Account (printed p.79). https://media.oceanpark.com.hk/files/s3fs-public/ophk_ar18-19.pdf</t>
  </si>
  <si>
    <t>Ocean park adult admission 2019 hkd</t>
  </si>
  <si>
    <t>Universal studios singapore attendance 2024 million</t>
  </si>
  <si>
    <t>Lotte world adult ticket 2026 krw</t>
  </si>
  <si>
    <t>KRW per adult ticket (full-day pass)</t>
  </si>
  <si>
    <t>SBS Biz, Lotte World to raise adult ticket price, article dated 17 March 2026, lead paragraph. https://biz.sbs.co.kr/amp/article/20000297877</t>
  </si>
  <si>
    <t>Lotte world visitors 2023 million</t>
  </si>
  <si>
    <t>million persons</t>
  </si>
  <si>
    <t>https://know.tour.go.kr/ptourknow/tourgoInfoView19Re.do?seq=103270</t>
  </si>
  <si>
    <t>Lotte world visitors 2024 million</t>
  </si>
  <si>
    <t>https://know.tour.go.kr/stat/visitStatDis/rankingStat.do</t>
  </si>
  <si>
    <t>Shanghai disneyland attendance 2024 million</t>
  </si>
  <si>
    <t>Shanghai Municipal Government news, Shanghai Disneyland secures global top 5 position with record attendance, 27 October 2025, body paragraph on attendance. https://english.shanghai.gov.cn/en-Latest-WhatsNew/20251027/63097f5dd6ff4d2dad7e736573ead8d6.html</t>
  </si>
  <si>
    <t>Shanghai disneyland attendance 2019 million</t>
  </si>
  <si>
    <t>TEA and AECOM Theme Index 2019, Top 25 table, rank 10, https://blooloop.com/files/75972/tea-report-2019.pdf</t>
  </si>
  <si>
    <t>Thailand 10y government bond yield 2026 10 14</t>
  </si>
  <si>
    <t>rate per year</t>
  </si>
  <si>
    <t>Corporate income tax rate standard</t>
  </si>
  <si>
    <t>rate of net profit</t>
  </si>
  <si>
    <t>Revenue Department, corporate income tax, https://www.rd.go.th/english/6044.html</t>
  </si>
  <si>
    <t>Vat statutory rate</t>
  </si>
  <si>
    <t>https://www.rd.go.th/english/37732.html</t>
  </si>
  <si>
    <t>Vat reduced rate 2026 2027</t>
  </si>
  <si>
    <t>rate, including local tax</t>
  </si>
  <si>
    <t>KPMG TaxNewsFlash, same article, first paragraph on Royal Decree No. 807. Temporary reduced rate for 1 October 2026 to 30 September 2027. It must be checked again after 30 September 2027.</t>
  </si>
  <si>
    <t>Adb economic horizon years low</t>
  </si>
  <si>
    <t>ADB (2017) Guidelines for the Economic Analysis of Projects, printed pages 47 to 48, paragraph 176. https://www.adb.org/sites/default/files/institutional-document/32256/economic-analysis-projects.pdf</t>
  </si>
  <si>
    <t>Adb economic horizon years high</t>
  </si>
  <si>
    <t>Adb dam railway operating years low</t>
  </si>
  <si>
    <t>ADB (2017), printed page 64, Appendix 3, paragraph 2. https://www.adb.org/sites/default/files/institutional-document/32256/economic-analysis-projects.pdf</t>
  </si>
  <si>
    <t>Adb dam railway operating years high</t>
  </si>
  <si>
    <t>Adb irrigation scheme life years</t>
  </si>
  <si>
    <t>ADB (2017), printed page 126, Appendix 16. https://www.adb.org/sites/default/files/institutional-document/32256/economic-analysis-projects.pdf</t>
  </si>
  <si>
    <t>Adb processing plant operating years</t>
  </si>
  <si>
    <t>ADB (2017), printed page 65, Appendix 3, paragraph 6. https://www.adb.org/sites/default/files/institutional-document/32256/economic-analysis-projects.pdf</t>
  </si>
  <si>
    <t>Adb illustrative implementation years</t>
  </si>
  <si>
    <t>Adb replacement period construction years</t>
  </si>
  <si>
    <t>ADB (2017), printed page 67, Table A3, construction line of the illustrative project statement. https://www.adb.org/sites/default/files/institutional-document/32256/economic-analysis-projects.pdf</t>
  </si>
  <si>
    <t>Adb replacement period equipment years</t>
  </si>
  <si>
    <t>ADB (2017), printed page 67, Table A3, equipment line of the illustrative project statement. https://www.adb.org/sites/default/files/institutional-document/32256/economic-analysis-projects.pdf</t>
  </si>
  <si>
    <t>Adb replacement period vehicles years</t>
  </si>
  <si>
    <t>ADB (2017), printed page 67, Table A3, vehicles line of the illustrative project statement. https://www.adb.org/sites/default/files/institutional-document/32256/economic-analysis-projects.pdf</t>
  </si>
  <si>
    <t>Adb working life sensitivity years</t>
  </si>
  <si>
    <t>ADB (2017), printed pages 142 and 143, Appendix 19. https://www.adb.org/sites/default/files/institutional-document/32256/economic-analysis-projects.pdf</t>
  </si>
  <si>
    <t>Adb gas deposit resource life years</t>
  </si>
  <si>
    <t>ADB (2017), printed page 98, Table A10. https://www.adb.org/sites/default/files/institutional-document/32256/economic-analysis-projects.pdf</t>
  </si>
  <si>
    <t>Adb shadow exchange rate factor illustrative</t>
  </si>
  <si>
    <t>ADB (2017), printed pages 126 and 128, Table A16.2, irrigation case. https://www.adb.org/sites/default/files/institutional-document/32256/economic-analysis-projects.pdf</t>
  </si>
  <si>
    <t>Adb shadow wage rate factor illustrative</t>
  </si>
  <si>
    <t>ADB (2017), printed page 90, Table A8. https://www.adb.org/sites/default/files/institutional-document/32256/economic-analysis-projects.pdf</t>
  </si>
  <si>
    <t>Nesdc social discount rate range low</t>
  </si>
  <si>
    <t>NESDC (2024) Guide to Public Investment Project Appraisal, section 6.2.1, PDF page 26. https://www.nesdc.go.th/wp-content/uploads/2025/05/article_20241009124821.pdf</t>
  </si>
  <si>
    <t>Nesdc social discount rate range high</t>
  </si>
  <si>
    <t>Nesdc permanent asset threshold years</t>
  </si>
  <si>
    <t>NESDC (2024) Guide to Public Investment Project Appraisal, definition of a permanent asset, PDF pages 58 and 64. https://www.nesdc.go.th/wp-content/uploads/2025/05/article_20241009124821.pdf</t>
  </si>
  <si>
    <t>Tourism asset life years</t>
  </si>
  <si>
    <t>Asset useful life by type nesdc years</t>
  </si>
  <si>
    <t>https://www.rd.go.th/english/6044.html</t>
  </si>
  <si>
    <t>Intl arrivals 2021</t>
  </si>
  <si>
    <t>Intl arrivals 2022</t>
  </si>
  <si>
    <t>Intl arrivals 2023</t>
  </si>
  <si>
    <t>Intl avg length of stay 2017 days</t>
  </si>
  <si>
    <t>Hk disneyland costs and expenses fy2025 hkd m</t>
  </si>
  <si>
    <t>Hong Kong Disneyland Annual Business Review FY2025, https://hkcorporate.hongkongdisneyland.com/pdf/AnnualBusinessReview25.pdf</t>
  </si>
  <si>
    <t>Hk disneyland depreciation fy2025 hkd m</t>
  </si>
  <si>
    <t>Hk disneyland noncurrent assets fy2025 hkd m</t>
  </si>
  <si>
    <t>Hk disneyland hotel rooms fy2025</t>
  </si>
  <si>
    <t>Hong Kong Disneyland Annual Business Review FY2025, operational highlights, paragraph 9</t>
  </si>
  <si>
    <t>Hk disneyland hotel occupancy fy2025</t>
  </si>
  <si>
    <t>Hong Kong Disneyland Annual Business Review FY2025, key revenue drivers table</t>
  </si>
  <si>
    <t>Bot hkd thb mid rate 19oct2026</t>
  </si>
  <si>
    <t>THB per HKD</t>
  </si>
  <si>
    <t>Bank of Thailand, commercial bank exchange rates (FM_FX_001_S3), Hong Kong dollar mid rate. https://app.bot.or.th/BTWS_STAT/statistics/BOTWEBSTAT.aspx?reportID=123&amp;language=ENG</t>
  </si>
  <si>
    <t>Cbre pattaya adr h2 2025 thb</t>
  </si>
  <si>
    <t>THB per room night</t>
  </si>
  <si>
    <t>CBRE, Pattaya Overall Figures H2 2025. https://mktgdocs.cbre.com/2299/175bc843-73b5-4940-a859-14bd0f57a6a1-1295998069/Pattaya-Overall-Figures-H2-202.pdf</t>
  </si>
  <si>
    <t>Cbre pattaya occupancy h2 2025</t>
  </si>
  <si>
    <t>Construction years</t>
  </si>
  <si>
    <t>ADB (2017) Guidelines, Appendix 3 illustrative implementation period, https://www.adb.org/sites/default/files/institutional-document/32256/economic-analysis-projects.pdf</t>
  </si>
  <si>
    <t>International share</t>
  </si>
  <si>
    <t>share of attendance</t>
  </si>
  <si>
    <t>Hong Kong Disneyland Annual Business Review FY2019, origin of visitors, https://hkcorporate.hongkongdisneyland.com/pdf/AnnualBusinessReview19.pdf</t>
  </si>
  <si>
    <t>Opex share</t>
  </si>
  <si>
    <t>ratio of revenue</t>
  </si>
  <si>
    <t>Ticket revenue per visit thb</t>
  </si>
  <si>
    <t>THB per visit</t>
  </si>
  <si>
    <t>Hong Kong Disneyland adult ticket tier 1, https://www.hongkongdisneyland.com/offers-discounts/travel-industry-salute/</t>
  </si>
  <si>
    <t>Nights per stay</t>
  </si>
  <si>
    <t>nights</t>
  </si>
  <si>
    <t>Guests per room</t>
  </si>
  <si>
    <t>guests per occupied room</t>
  </si>
  <si>
    <t>Movements per visit</t>
  </si>
  <si>
    <t>passenger movements per visit</t>
  </si>
  <si>
    <t>Current airport use passengers per year</t>
  </si>
  <si>
    <t>U-Tapao air traffic statistics, budget year 2024, https://www.uta.co.th/airport-airportcity/airport-terminal</t>
  </si>
  <si>
    <t>Planned airport addition passengers per year</t>
  </si>
  <si>
    <t>Public cost after construction thb bn per year</t>
  </si>
  <si>
    <t>Rooms serving site</t>
  </si>
  <si>
    <t>Occupancy serving site</t>
  </si>
  <si>
    <t>National Statistical Office, Table 17.1, https://www.nso.go.th/nsoweb/downloadFile/stat_main_nso/FgpN/file_th</t>
  </si>
  <si>
    <t>Occupancy ceiling serving site</t>
  </si>
  <si>
    <t>Park-only operator inputs</t>
  </si>
  <si>
    <t>Park-only capital cost</t>
  </si>
  <si>
    <t>Nation Thailand, 12 February 2026, https://www.nationthailand.com/blogs/business/investment/40062428</t>
  </si>
  <si>
    <t>Replacement capex, share of capital per operating year</t>
  </si>
  <si>
    <t>Hong Kong depreciation share of noncurrent assets</t>
  </si>
  <si>
    <t>share per year</t>
  </si>
  <si>
    <t>Corporate income tax rate</t>
  </si>
  <si>
    <t>Tax depreciation years</t>
  </si>
  <si>
    <t>Park-only operator financial appraisal (THB billion unless stated)</t>
  </si>
  <si>
    <t>Park-only</t>
  </si>
  <si>
    <t>Cash operating cost, share of revenue</t>
  </si>
  <si>
    <t>WACC</t>
  </si>
  <si>
    <t>Operating life (years)</t>
  </si>
  <si>
    <t>Capital cost (THB bn)</t>
  </si>
  <si>
    <t>Attendance (million visits a year)</t>
  </si>
  <si>
    <t>International share of attendance</t>
  </si>
  <si>
    <t>Physical visit cap (million visits a year)</t>
  </si>
  <si>
    <t>Ticket revenue per visit (THB)</t>
  </si>
  <si>
    <t>Operator visits per operating year (million)</t>
  </si>
  <si>
    <t>Operator revenue per operating year (THB bn)</t>
  </si>
  <si>
    <t>On-site income included (1 = yes)</t>
  </si>
  <si>
    <t>Results</t>
  </si>
  <si>
    <t>Operator NPV before tax at WACC (THB bn)</t>
  </si>
  <si>
    <t>Operator NPV after tax (THB bn)</t>
  </si>
  <si>
    <t>Operator IRR after tax</t>
  </si>
  <si>
    <t>Break-even capital cost (THB bn)</t>
  </si>
  <si>
    <t>Break-even attendance (million visits a year)</t>
  </si>
  <si>
    <t>Annuity factor over operating years</t>
  </si>
  <si>
    <t>Present value of capital cost (THB bn)</t>
  </si>
  <si>
    <t>Tax depreciation covers the operating life</t>
  </si>
  <si>
    <t>Annual ledger, park-only</t>
  </si>
  <si>
    <t>Year</t>
  </si>
  <si>
    <t>Discount factor</t>
  </si>
  <si>
    <t>Construction</t>
  </si>
  <si>
    <t>Operating</t>
  </si>
  <si>
    <t>Capital cost</t>
  </si>
  <si>
    <t>Operator visits (million)</t>
  </si>
  <si>
    <t>Revenue</t>
  </si>
  <si>
    <t>Cash operating cost</t>
  </si>
  <si>
    <t>Replacement capex</t>
  </si>
  <si>
    <t>Cash flow before tax</t>
  </si>
  <si>
    <t>Present value before tax</t>
  </si>
  <si>
    <t>Tax depreciation</t>
  </si>
  <si>
    <t>Taxable income</t>
  </si>
  <si>
    <t>Cumulative taxable income</t>
  </si>
  <si>
    <t>Cumulative tax due</t>
  </si>
  <si>
    <t>Tax paid</t>
  </si>
  <si>
    <t>Cash flow after tax</t>
  </si>
  <si>
    <t>Present value after tax</t>
  </si>
  <si>
    <t>Cumulative cash flow after tax</t>
  </si>
  <si>
    <t>Sensitivity cases</t>
  </si>
  <si>
    <t>Case</t>
  </si>
  <si>
    <t>Capital cost factor</t>
  </si>
  <si>
    <t>Opex factor</t>
  </si>
  <si>
    <t>Revenue factor</t>
  </si>
  <si>
    <t>Opening delay (years)</t>
  </si>
  <si>
    <t>Annuity factor</t>
  </si>
  <si>
    <t>NPV before tax, park-only</t>
  </si>
  <si>
    <t>Replacement share</t>
  </si>
  <si>
    <t>Taxable income, park-only</t>
  </si>
  <si>
    <t>NPV after tax, park-only</t>
  </si>
  <si>
    <t>Chart label</t>
  </si>
  <si>
    <t>Base</t>
  </si>
  <si>
    <t>Construction cost +5%</t>
  </si>
  <si>
    <t>Construction cost -5%</t>
  </si>
  <si>
    <t>Construction cost +10%</t>
  </si>
  <si>
    <t>Construction cost -10%</t>
  </si>
  <si>
    <t>Construction cost +20%</t>
  </si>
  <si>
    <t>Construction cost -20%</t>
  </si>
  <si>
    <t>Operating cost +5%</t>
  </si>
  <si>
    <t>Operating cost -5%</t>
  </si>
  <si>
    <t>Operating cost +10%</t>
  </si>
  <si>
    <t>Operating cost -10%</t>
  </si>
  <si>
    <t>Operating cost +20%</t>
  </si>
  <si>
    <t>Operating cost -20%</t>
  </si>
  <si>
    <t>Revenue +5%</t>
  </si>
  <si>
    <t>Revenue -5%</t>
  </si>
  <si>
    <t>Revenue +10%</t>
  </si>
  <si>
    <t>Revenue -10%</t>
  </si>
  <si>
    <t>Revenue +20%</t>
  </si>
  <si>
    <t>Revenue -20%</t>
  </si>
  <si>
    <t>Cost +5%, revenue -5%</t>
  </si>
  <si>
    <t>Cost -5%, revenue +5%</t>
  </si>
  <si>
    <t>Cost +10%, revenue -10%</t>
  </si>
  <si>
    <t>Cost -10%, revenue +10%</t>
  </si>
  <si>
    <t>Cost +20%, revenue -20%</t>
  </si>
  <si>
    <t>Cost -20%, revenue +20%</t>
  </si>
  <si>
    <t>One-year opening delay</t>
  </si>
  <si>
    <t>Replacement at HK depreciation share</t>
  </si>
  <si>
    <t>Scenarios (NPV before tax, THB bn)</t>
  </si>
  <si>
    <t>Scenario</t>
  </si>
  <si>
    <t>On-site income (1 = yes)</t>
  </si>
  <si>
    <t>Revenue (THB bn a year)</t>
  </si>
  <si>
    <t>Capital present value</t>
  </si>
  <si>
    <t>NPV before tax (THB bn)</t>
  </si>
  <si>
    <t>Park-only, ticket and on-site revenue</t>
  </si>
  <si>
    <t>Ticket revenue only</t>
  </si>
  <si>
    <t>Operating life 30 years</t>
  </si>
  <si>
    <t>Operating life 40 years</t>
  </si>
  <si>
    <t>WACC 6%</t>
  </si>
  <si>
    <t>WACC 7%</t>
  </si>
  <si>
    <t>WACC 10%</t>
  </si>
  <si>
    <t>Replacement at Hong Kong depreciation share</t>
  </si>
  <si>
    <t>Operating life 30 years, replacement at HK share</t>
  </si>
  <si>
    <t>Ticket revenue only, replacement at HK share</t>
  </si>
  <si>
    <t>Ticket revenue only, life 30 years, replacement at HK share</t>
  </si>
  <si>
    <t>Two-way sensitivity: NPV before tax (THB bn), capital cost by cash operating cost share</t>
  </si>
  <si>
    <t>Capital cost (THB bn) / cost share</t>
  </si>
  <si>
    <t>Attendance benchmarks (million visits a year)</t>
  </si>
  <si>
    <t>Park</t>
  </si>
  <si>
    <t>Attendance (million)</t>
  </si>
  <si>
    <t>Magic Kingdom (Walt Disney World)</t>
  </si>
  <si>
    <t>2024</t>
  </si>
  <si>
    <t>TEA/AECOM ranking, reported by Disney Food Blog, 23 October 2025: https://disneyfoodblog.com/2025/10/23/magic-kingdom-is-the-1-most-visited-theme-park-in-the-world-but-the-rest-of-the-list-may-surprise-you</t>
  </si>
  <si>
    <t>Disneyland Park (California)</t>
  </si>
  <si>
    <t>TEA/AECOM ranking, summarised by BGT Safari, 11 November 2025: https://bgtsafari.com/2025/11/11/the-tea-rankings-are-out-of-for-the-top-25-theme-parks-worldwide-and-almost-half-are-in-asia/</t>
  </si>
  <si>
    <t>Hong Kong Disneyland</t>
  </si>
  <si>
    <t>FY2025</t>
  </si>
  <si>
    <t>Hong Kong Disneyland press release, 28 April 2026: https://news.hongkongdisneyland.com/en/press/2026-04-28/</t>
  </si>
  <si>
    <t>Shanghai Disneyland (approximate)</t>
  </si>
  <si>
    <t>2023</t>
  </si>
  <si>
    <t>TEA/AECOM 2023 theme index (approximate)</t>
  </si>
  <si>
    <t>Tokyo Disney Resort (two parks)</t>
  </si>
  <si>
    <t>No verified figure</t>
  </si>
  <si>
    <t>Primary break-even attendance (million visits a year)</t>
  </si>
  <si>
    <t>Multiple of Magic Kingdom attendance</t>
  </si>
  <si>
    <t>Park-only operator appraisal: charts</t>
  </si>
  <si>
    <t>Capital outflow, absolute (THB bn)</t>
  </si>
  <si>
    <t>Operating cash flow (THB bn)</t>
  </si>
  <si>
    <t>Cumulative cash flow over the operating life, before tax (THB bn)</t>
  </si>
  <si>
    <t>Years of operation needed for nominal payback</t>
  </si>
  <si>
    <t>Estimated nominal payback year (from start of construction)</t>
  </si>
  <si>
    <t>Nominal payback within the operating life</t>
  </si>
  <si>
    <t>Estimated discounted payback year at WACC (from start of construction)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</si>
</sst>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r>
              <a:rPr lang="en-US"/>
              <a:t>Annual cash flow before tax, park-only (THB bn, log scale)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5265624999999998E-2"/>
          <c:y val="0.12186868686868686"/>
          <c:w val="0.8985653935185185"/>
          <c:h val="0.660656565656565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Appraisal!$U$40</c:f>
              <c:strCache>
                <c:ptCount val="1"/>
                <c:pt idx="0">
                  <c:v>Capital outflow, absolute (THB bn)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0"/>
          <c:dLbls>
            <c:dLbl>
              <c:idx val="0"/>
              <c:numFmt formatCode="\-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800"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58-4402-AA0C-BC86BA6AC45A}"/>
                </c:ext>
              </c:extLst>
            </c:dLbl>
            <c:dLbl>
              <c:idx val="1"/>
              <c:numFmt formatCode="\-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800"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58-4402-AA0C-BC86BA6AC4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Appraisal!$A$41:$A$85</c:f>
              <c:numCache>
                <c:formatCode>General</c:formatCode>
                <c:ptCount val="45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</c:numCache>
            </c:numRef>
          </c:cat>
          <c:val>
            <c:numRef>
              <c:f>Appraisal!$U$41:$U$85</c:f>
              <c:numCache>
                <c:formatCode>#,##0.00</c:formatCode>
                <c:ptCount val="45"/>
                <c:pt idx="0">
                  <c:v>100.0</c:v>
                </c:pt>
                <c:pt idx="1">
                  <c:v>100.0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8-4402-AA0C-BC86BA6AC45A}"/>
            </c:ext>
          </c:extLst>
        </c:ser>
        <c:ser>
          <c:idx val="1"/>
          <c:order val="1"/>
          <c:tx>
            <c:strRef>
              <c:f>Appraisal!$V$40</c:f>
              <c:strCache>
                <c:ptCount val="1"/>
                <c:pt idx="0">
                  <c:v>Operating cash flow (THB bn)</c:v>
                </c:pt>
              </c:strCache>
            </c:strRef>
          </c:tx>
          <c:spPr>
            <a:solidFill>
              <a:srgbClr val="1F3864"/>
            </a:solidFill>
          </c:spPr>
          <c:invertIfNegative val="0"/>
          <c:dLbls>
            <c:dLbl>
              <c:idx val="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E0-44CC-9963-210863B94866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E0-44CC-9963-210863B94866}"/>
                </c:ext>
              </c:extLst>
            </c:dLbl>
            <c:dLbl>
              <c:idx val="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E0-44CC-9963-210863B94866}"/>
                </c:ext>
              </c:extLst>
            </c:dLbl>
            <c:dLbl>
              <c:idx val="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E0-44CC-9963-210863B94866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E0-44CC-9963-210863B94866}"/>
                </c:ext>
              </c:extLst>
            </c:dLbl>
            <c:dLbl>
              <c:idx val="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E0-44CC-9963-210863B94866}"/>
                </c:ext>
              </c:extLst>
            </c:dLbl>
            <c:dLbl>
              <c:idx val="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E0-44CC-9963-210863B94866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E0-44CC-9963-210863B94866}"/>
                </c:ext>
              </c:extLst>
            </c:dLbl>
            <c:dLbl>
              <c:idx val="1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E0-44CC-9963-210863B94866}"/>
                </c:ext>
              </c:extLst>
            </c:dLbl>
            <c:dLbl>
              <c:idx val="1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E0-44CC-9963-210863B94866}"/>
                </c:ext>
              </c:extLst>
            </c:dLbl>
            <c:dLbl>
              <c:idx val="1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E0-44CC-9963-210863B94866}"/>
                </c:ext>
              </c:extLst>
            </c:dLbl>
            <c:dLbl>
              <c:idx val="1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E0-44CC-9963-210863B94866}"/>
                </c:ext>
              </c:extLst>
            </c:dLbl>
            <c:dLbl>
              <c:idx val="1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E0-44CC-9963-210863B94866}"/>
                </c:ext>
              </c:extLst>
            </c:dLbl>
            <c:dLbl>
              <c:idx val="1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E0-44CC-9963-210863B94866}"/>
                </c:ext>
              </c:extLst>
            </c:dLbl>
            <c:dLbl>
              <c:idx val="1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E0-44CC-9963-210863B94866}"/>
                </c:ext>
              </c:extLst>
            </c:dLbl>
            <c:dLbl>
              <c:idx val="1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E0-44CC-9963-210863B94866}"/>
                </c:ext>
              </c:extLst>
            </c:dLbl>
            <c:dLbl>
              <c:idx val="1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E0-44CC-9963-210863B94866}"/>
                </c:ext>
              </c:extLst>
            </c:dLbl>
            <c:dLbl>
              <c:idx val="1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E0-44CC-9963-210863B94866}"/>
                </c:ext>
              </c:extLst>
            </c:dLbl>
            <c:dLbl>
              <c:idx val="2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E0-44CC-9963-210863B94866}"/>
                </c:ext>
              </c:extLst>
            </c:dLbl>
            <c:dLbl>
              <c:idx val="2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>
                      <a:solidFill>
                        <a:srgbClr val="40404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E0-44CC-9963-210863B9486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Appraisal!$A$41:$A$85</c:f>
              <c:numCache>
                <c:formatCode>General</c:formatCode>
                <c:ptCount val="45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</c:numCache>
            </c:numRef>
          </c:cat>
          <c:val>
            <c:numRef>
              <c:f>Appraisal!$V$41:$V$85</c:f>
              <c:numCache>
                <c:formatCode>#,##0.00</c:formatCode>
                <c:ptCount val="45"/>
                <c:pt idx="2">
                  <c:v>5.339592210144929</c:v>
                </c:pt>
                <c:pt idx="3">
                  <c:v>5.339592210144929</c:v>
                </c:pt>
                <c:pt idx="4">
                  <c:v>5.339592210144929</c:v>
                </c:pt>
                <c:pt idx="5">
                  <c:v>5.339592210144929</c:v>
                </c:pt>
                <c:pt idx="6">
                  <c:v>5.339592210144929</c:v>
                </c:pt>
                <c:pt idx="7">
                  <c:v>5.339592210144929</c:v>
                </c:pt>
                <c:pt idx="8">
                  <c:v>5.339592210144929</c:v>
                </c:pt>
                <c:pt idx="9">
                  <c:v>5.339592210144929</c:v>
                </c:pt>
                <c:pt idx="10">
                  <c:v>5.339592210144929</c:v>
                </c:pt>
                <c:pt idx="11">
                  <c:v>5.339592210144929</c:v>
                </c:pt>
                <c:pt idx="12">
                  <c:v>5.339592210144929</c:v>
                </c:pt>
                <c:pt idx="13">
                  <c:v>5.339592210144929</c:v>
                </c:pt>
                <c:pt idx="14">
                  <c:v>5.339592210144929</c:v>
                </c:pt>
                <c:pt idx="15">
                  <c:v>5.339592210144929</c:v>
                </c:pt>
                <c:pt idx="16">
                  <c:v>5.339592210144929</c:v>
                </c:pt>
                <c:pt idx="17">
                  <c:v>5.339592210144929</c:v>
                </c:pt>
                <c:pt idx="18">
                  <c:v>5.339592210144929</c:v>
                </c:pt>
                <c:pt idx="19">
                  <c:v>5.339592210144929</c:v>
                </c:pt>
                <c:pt idx="20">
                  <c:v>5.339592210144929</c:v>
                </c:pt>
                <c:pt idx="21">
                  <c:v>5.339592210144929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F-44B6-B4FF-3F12DE384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  <c:max val="1000"/>
          <c:min val="1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 (log scale)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autoZero"/>
        <c:crossBetween val="between"/>
        <c:majorUnit val="10"/>
      </c:valAx>
    </c:plotArea>
    <c:legend>
      <c:legendPos val="b"/>
      <c:overlay val="0"/>
      <c:txPr>
        <a:bodyPr/>
        <a:lstStyle/>
        <a:p>
          <a:pPr>
            <a:defRPr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cash flow after tax, park-only (THB bn)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Appraisal!$S$40</c:f>
              <c:strCache>
                <c:ptCount val="1"/>
                <c:pt idx="0">
                  <c:v>Cumulative cash flow after tax</c:v>
                </c:pt>
              </c:strCache>
            </c:strRef>
          </c:tx>
          <c:spPr>
            <a:ln w="31750">
              <a:solidFill>
                <a:srgbClr val="1F3864"/>
              </a:solidFill>
            </a:ln>
          </c:spPr>
          <c:marker>
            <c:symbol val="none"/>
          </c:marker>
          <c:dLbls>
            <c:dLbl>
              <c:idx val="2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02B-8DDA-45562A452D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Appraisal!$A$41:$A$85</c:f>
              <c:numCache>
                <c:formatCode>General</c:formatCode>
                <c:ptCount val="45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  <c:pt idx="10">
                  <c:v>10.0</c:v>
                </c:pt>
                <c:pt idx="11">
                  <c:v>11.0</c:v>
                </c:pt>
                <c:pt idx="12">
                  <c:v>12.0</c:v>
                </c:pt>
                <c:pt idx="13">
                  <c:v>13.0</c:v>
                </c:pt>
                <c:pt idx="14">
                  <c:v>14.0</c:v>
                </c:pt>
                <c:pt idx="15">
                  <c:v>15.0</c:v>
                </c:pt>
                <c:pt idx="16">
                  <c:v>16.0</c:v>
                </c:pt>
                <c:pt idx="17">
                  <c:v>17.0</c:v>
                </c:pt>
                <c:pt idx="18">
                  <c:v>18.0</c:v>
                </c:pt>
                <c:pt idx="19">
                  <c:v>19.0</c:v>
                </c:pt>
                <c:pt idx="20">
                  <c:v>20.0</c:v>
                </c:pt>
                <c:pt idx="21">
                  <c:v>21.0</c:v>
                </c:pt>
                <c:pt idx="22">
                  <c:v>22.0</c:v>
                </c:pt>
                <c:pt idx="23">
                  <c:v>23.0</c:v>
                </c:pt>
                <c:pt idx="24">
                  <c:v>24.0</c:v>
                </c:pt>
                <c:pt idx="25">
                  <c:v>25.0</c:v>
                </c:pt>
                <c:pt idx="26">
                  <c:v>26.0</c:v>
                </c:pt>
                <c:pt idx="27">
                  <c:v>27.0</c:v>
                </c:pt>
                <c:pt idx="28">
                  <c:v>28.0</c:v>
                </c:pt>
                <c:pt idx="29">
                  <c:v>29.0</c:v>
                </c:pt>
                <c:pt idx="30">
                  <c:v>30.0</c:v>
                </c:pt>
                <c:pt idx="31">
                  <c:v>31.0</c:v>
                </c:pt>
                <c:pt idx="32">
                  <c:v>32.0</c:v>
                </c:pt>
                <c:pt idx="33">
                  <c:v>33.0</c:v>
                </c:pt>
                <c:pt idx="34">
                  <c:v>34.0</c:v>
                </c:pt>
                <c:pt idx="35">
                  <c:v>35.0</c:v>
                </c:pt>
                <c:pt idx="36">
                  <c:v>36.0</c:v>
                </c:pt>
                <c:pt idx="37">
                  <c:v>37.0</c:v>
                </c:pt>
                <c:pt idx="38">
                  <c:v>38.0</c:v>
                </c:pt>
                <c:pt idx="39">
                  <c:v>39.0</c:v>
                </c:pt>
                <c:pt idx="40">
                  <c:v>40.0</c:v>
                </c:pt>
                <c:pt idx="41">
                  <c:v>41.0</c:v>
                </c:pt>
                <c:pt idx="42">
                  <c:v>42.0</c:v>
                </c:pt>
                <c:pt idx="43">
                  <c:v>43.0</c:v>
                </c:pt>
                <c:pt idx="44">
                  <c:v>44.0</c:v>
                </c:pt>
              </c:numCache>
            </c:numRef>
          </c:cat>
          <c:val>
            <c:numRef>
              <c:f>Appraisal!$S$41:$S$85</c:f>
              <c:numCache>
                <c:formatCode>#,##0.00</c:formatCode>
                <c:ptCount val="45"/>
                <c:pt idx="0">
                  <c:v>-100.0</c:v>
                </c:pt>
                <c:pt idx="1">
                  <c:v>-200.0</c:v>
                </c:pt>
                <c:pt idx="2">
                  <c:v>-194.66040778985507</c:v>
                </c:pt>
                <c:pt idx="3">
                  <c:v>-189.32081557971014</c:v>
                </c:pt>
                <c:pt idx="4">
                  <c:v>-183.9812233695652</c:v>
                </c:pt>
                <c:pt idx="5">
                  <c:v>-178.64163115942029</c:v>
                </c:pt>
                <c:pt idx="6">
                  <c:v>-173.30203894927536</c:v>
                </c:pt>
                <c:pt idx="7">
                  <c:v>-167.96244673913043</c:v>
                </c:pt>
                <c:pt idx="8">
                  <c:v>-162.6228545289855</c:v>
                </c:pt>
                <c:pt idx="9">
                  <c:v>-157.28326231884057</c:v>
                </c:pt>
                <c:pt idx="10">
                  <c:v>-151.94367010869564</c:v>
                </c:pt>
                <c:pt idx="11">
                  <c:v>-146.6040778985507</c:v>
                </c:pt>
                <c:pt idx="12">
                  <c:v>-141.26448568840578</c:v>
                </c:pt>
                <c:pt idx="13">
                  <c:v>-135.92489347826086</c:v>
                </c:pt>
                <c:pt idx="14">
                  <c:v>-130.58530126811593</c:v>
                </c:pt>
                <c:pt idx="15">
                  <c:v>-125.245709057971</c:v>
                </c:pt>
                <c:pt idx="16">
                  <c:v>-119.90611684782607</c:v>
                </c:pt>
                <c:pt idx="17">
                  <c:v>-114.56652463768114</c:v>
                </c:pt>
                <c:pt idx="18">
                  <c:v>-109.22693242753621</c:v>
                </c:pt>
                <c:pt idx="19">
                  <c:v>-103.88734021739128</c:v>
                </c:pt>
                <c:pt idx="20">
                  <c:v>-98.54774800724635</c:v>
                </c:pt>
                <c:pt idx="21">
                  <c:v>-93.20815579710143</c:v>
                </c:pt>
                <c:pt idx="22">
                  <c:v>-93.20815579710143</c:v>
                </c:pt>
                <c:pt idx="23">
                  <c:v>-93.20815579710143</c:v>
                </c:pt>
                <c:pt idx="24">
                  <c:v>-93.20815579710143</c:v>
                </c:pt>
                <c:pt idx="25">
                  <c:v>-93.20815579710143</c:v>
                </c:pt>
                <c:pt idx="26">
                  <c:v>-93.20815579710143</c:v>
                </c:pt>
                <c:pt idx="27">
                  <c:v>-93.20815579710143</c:v>
                </c:pt>
                <c:pt idx="28">
                  <c:v>-93.20815579710143</c:v>
                </c:pt>
                <c:pt idx="29">
                  <c:v>-93.20815579710143</c:v>
                </c:pt>
                <c:pt idx="30">
                  <c:v>-93.20815579710143</c:v>
                </c:pt>
                <c:pt idx="31">
                  <c:v>-93.20815579710143</c:v>
                </c:pt>
                <c:pt idx="32">
                  <c:v>-93.20815579710143</c:v>
                </c:pt>
                <c:pt idx="33">
                  <c:v>-93.20815579710143</c:v>
                </c:pt>
                <c:pt idx="34">
                  <c:v>-93.20815579710143</c:v>
                </c:pt>
                <c:pt idx="35">
                  <c:v>-93.20815579710143</c:v>
                </c:pt>
                <c:pt idx="36">
                  <c:v>-93.20815579710143</c:v>
                </c:pt>
                <c:pt idx="37">
                  <c:v>-93.20815579710143</c:v>
                </c:pt>
                <c:pt idx="38">
                  <c:v>-93.20815579710143</c:v>
                </c:pt>
                <c:pt idx="39">
                  <c:v>-93.20815579710143</c:v>
                </c:pt>
                <c:pt idx="40">
                  <c:v>-93.20815579710143</c:v>
                </c:pt>
                <c:pt idx="41">
                  <c:v>-93.20815579710143</c:v>
                </c:pt>
                <c:pt idx="42">
                  <c:v>-93.20815579710143</c:v>
                </c:pt>
                <c:pt idx="43">
                  <c:v>-93.20815579710143</c:v>
                </c:pt>
                <c:pt idx="44">
                  <c:v>-93.20815579710143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7-402B-8DDA-45562A452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"/>
          <c:min val="-220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autoZero"/>
        <c:crossBetween val="between"/>
        <c:majorUnit val="20"/>
      </c:valAx>
    </c:plotArea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r>
              <a:rPr lang="en-US"/>
              <a:t>NPV before tax by sensitivity case (THB bn)</a:t>
            </a:r>
          </a:p>
        </c:rich>
      </c:tx>
      <c:layout>
        <c:manualLayout>
          <c:xMode val="edge"/>
          <c:yMode val="edge"/>
          <c:x val="0.33920117521367521"/>
          <c:y val="1.21212121212121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303899572649572"/>
          <c:y val="0.11515151515151516"/>
          <c:w val="0.74859626068376073"/>
          <c:h val="0.7636363636363636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Appraisal!$G$89</c:f>
              <c:strCache>
                <c:ptCount val="1"/>
                <c:pt idx="0">
                  <c:v>NPV before tax, park-only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0"/>
          <c:dLbls>
            <c:dLbl>
              <c:idx val="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589-47AD-88D9-266D424F8D12}"/>
                </c:ext>
              </c:extLst>
            </c:dLbl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89-47AD-88D9-266D424F8D12}"/>
                </c:ext>
              </c:extLst>
            </c:dLbl>
            <c:dLbl>
              <c:idx val="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589-47AD-88D9-266D424F8D12}"/>
                </c:ext>
              </c:extLst>
            </c:dLbl>
            <c:dLbl>
              <c:idx val="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589-47AD-88D9-266D424F8D12}"/>
                </c:ext>
              </c:extLst>
            </c:dLbl>
            <c:dLbl>
              <c:idx val="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589-47AD-88D9-266D424F8D12}"/>
                </c:ext>
              </c:extLst>
            </c:dLbl>
            <c:dLbl>
              <c:idx val="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589-47AD-88D9-266D424F8D12}"/>
                </c:ext>
              </c:extLst>
            </c:dLbl>
            <c:dLbl>
              <c:idx val="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589-47AD-88D9-266D424F8D12}"/>
                </c:ext>
              </c:extLst>
            </c:dLbl>
            <c:dLbl>
              <c:idx val="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589-47AD-88D9-266D424F8D12}"/>
                </c:ext>
              </c:extLst>
            </c:dLbl>
            <c:dLbl>
              <c:idx val="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589-47AD-88D9-266D424F8D12}"/>
                </c:ext>
              </c:extLst>
            </c:dLbl>
            <c:dLbl>
              <c:idx val="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89-47AD-88D9-266D424F8D12}"/>
                </c:ext>
              </c:extLst>
            </c:dLbl>
            <c:dLbl>
              <c:idx val="1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589-47AD-88D9-266D424F8D12}"/>
                </c:ext>
              </c:extLst>
            </c:dLbl>
            <c:dLbl>
              <c:idx val="1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589-47AD-88D9-266D424F8D12}"/>
                </c:ext>
              </c:extLst>
            </c:dLbl>
            <c:dLbl>
              <c:idx val="1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589-47AD-88D9-266D424F8D12}"/>
                </c:ext>
              </c:extLst>
            </c:dLbl>
            <c:dLbl>
              <c:idx val="1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589-47AD-88D9-266D424F8D12}"/>
                </c:ext>
              </c:extLst>
            </c:dLbl>
            <c:dLbl>
              <c:idx val="1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589-47AD-88D9-266D424F8D12}"/>
                </c:ext>
              </c:extLst>
            </c:dLbl>
            <c:dLbl>
              <c:idx val="1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589-47AD-88D9-266D424F8D12}"/>
                </c:ext>
              </c:extLst>
            </c:dLbl>
            <c:dLbl>
              <c:idx val="1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589-47AD-88D9-266D424F8D12}"/>
                </c:ext>
              </c:extLst>
            </c:dLbl>
            <c:dLbl>
              <c:idx val="17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589-47AD-88D9-266D424F8D12}"/>
                </c:ext>
              </c:extLst>
            </c:dLbl>
            <c:dLbl>
              <c:idx val="1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E589-47AD-88D9-266D424F8D12}"/>
                </c:ext>
              </c:extLst>
            </c:dLbl>
            <c:dLbl>
              <c:idx val="19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589-47AD-88D9-266D424F8D12}"/>
                </c:ext>
              </c:extLst>
            </c:dLbl>
            <c:dLbl>
              <c:idx val="20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E589-47AD-88D9-266D424F8D12}"/>
                </c:ext>
              </c:extLst>
            </c:dLbl>
            <c:dLbl>
              <c:idx val="2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589-47AD-88D9-266D424F8D12}"/>
                </c:ext>
              </c:extLst>
            </c:dLbl>
            <c:dLbl>
              <c:idx val="22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E589-47AD-88D9-266D424F8D12}"/>
                </c:ext>
              </c:extLst>
            </c:dLbl>
            <c:dLbl>
              <c:idx val="2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589-47AD-88D9-266D424F8D12}"/>
                </c:ext>
              </c:extLst>
            </c:dLbl>
            <c:dLbl>
              <c:idx val="2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E589-47AD-88D9-266D424F8D12}"/>
                </c:ext>
              </c:extLst>
            </c:dLbl>
            <c:dLbl>
              <c:idx val="2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E589-47AD-88D9-266D424F8D12}"/>
                </c:ext>
              </c:extLst>
            </c:dLbl>
            <c:dLbl>
              <c:idx val="2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E589-47AD-88D9-266D424F8D12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Appraisal!$K$90:$K$116</c:f>
              <c:strCache>
                <c:ptCount val="27"/>
                <c:pt idx="0">
                  <c:v>Base</c:v>
                </c:pt>
                <c:pt idx="1">
                  <c:v>Construction cost +5%</c:v>
                </c:pt>
                <c:pt idx="2">
                  <c:v>Construction cost -5%</c:v>
                </c:pt>
                <c:pt idx="3">
                  <c:v>Construction cost +10%</c:v>
                </c:pt>
                <c:pt idx="4">
                  <c:v>Construction cost -10%</c:v>
                </c:pt>
                <c:pt idx="5">
                  <c:v>Construction cost +20%</c:v>
                </c:pt>
                <c:pt idx="6">
                  <c:v>Construction cost -20%</c:v>
                </c:pt>
                <c:pt idx="7">
                  <c:v>Operating cost +5%</c:v>
                </c:pt>
                <c:pt idx="8">
                  <c:v>Operating cost -5%</c:v>
                </c:pt>
                <c:pt idx="9">
                  <c:v>Operating cost +10%</c:v>
                </c:pt>
                <c:pt idx="10">
                  <c:v>Operating cost -10%</c:v>
                </c:pt>
                <c:pt idx="11">
                  <c:v>Operating cost +20%</c:v>
                </c:pt>
                <c:pt idx="12">
                  <c:v>Operating cost -20%</c:v>
                </c:pt>
                <c:pt idx="13">
                  <c:v>Revenue +5%</c:v>
                </c:pt>
                <c:pt idx="14">
                  <c:v>Revenue -5%</c:v>
                </c:pt>
                <c:pt idx="15">
                  <c:v>Revenue +10%</c:v>
                </c:pt>
                <c:pt idx="16">
                  <c:v>Revenue -10%</c:v>
                </c:pt>
                <c:pt idx="17">
                  <c:v>Revenue +20%</c:v>
                </c:pt>
                <c:pt idx="18">
                  <c:v>Revenue -20%</c:v>
                </c:pt>
                <c:pt idx="19">
                  <c:v>Cost +5%, revenue -5%</c:v>
                </c:pt>
                <c:pt idx="20">
                  <c:v>Cost -5%, revenue +5%</c:v>
                </c:pt>
                <c:pt idx="21">
                  <c:v>Cost +10%, revenue -10%</c:v>
                </c:pt>
                <c:pt idx="22">
                  <c:v>Cost -10%, revenue +10%</c:v>
                </c:pt>
                <c:pt idx="23">
                  <c:v>Cost +20%, revenue -20%</c:v>
                </c:pt>
                <c:pt idx="24">
                  <c:v>Cost -20%, revenue +20%</c:v>
                </c:pt>
                <c:pt idx="25">
                  <c:v>One-year opening delay</c:v>
                </c:pt>
                <c:pt idx="26">
                  <c:v>Replacement at HK depreciation share</c:v>
                </c:pt>
              </c:strCache>
            </c:strRef>
          </c:cat>
          <c:val>
            <c:numRef>
              <c:f>Appraisal!$G$90:$G$116</c:f>
              <c:numCache>
                <c:formatCode>#,##0.00</c:formatCode>
                <c:ptCount val="27"/>
                <c:pt idx="0">
                  <c:v>-144.05101535660108</c:v>
                </c:pt>
                <c:pt idx="1">
                  <c:v>-153.68064498623073</c:v>
                </c:pt>
                <c:pt idx="2">
                  <c:v>-134.42138572697144</c:v>
                </c:pt>
                <c:pt idx="3">
                  <c:v>-163.31027461586035</c:v>
                </c:pt>
                <c:pt idx="4">
                  <c:v>-124.79175609734182</c:v>
                </c:pt>
                <c:pt idx="5">
                  <c:v>-182.5695338751196</c:v>
                </c:pt>
                <c:pt idx="6">
                  <c:v>-105.53249683808258</c:v>
                </c:pt>
                <c:pt idx="7">
                  <c:v>-152.2327970400431</c:v>
                </c:pt>
                <c:pt idx="8">
                  <c:v>-135.86923367315907</c:v>
                </c:pt>
                <c:pt idx="9">
                  <c:v>-160.4145787234851</c:v>
                </c:pt>
                <c:pt idx="10">
                  <c:v>-127.68745198971706</c:v>
                </c:pt>
                <c:pt idx="11">
                  <c:v>-176.7781420903691</c:v>
                </c:pt>
                <c:pt idx="12">
                  <c:v>-111.32388862283307</c:v>
                </c:pt>
                <c:pt idx="13">
                  <c:v>-133.4421548113595</c:v>
                </c:pt>
                <c:pt idx="14">
                  <c:v>-154.65987590184267</c:v>
                </c:pt>
                <c:pt idx="15">
                  <c:v>-122.83329426611789</c:v>
                </c:pt>
                <c:pt idx="16">
                  <c:v>-165.26873644708425</c:v>
                </c:pt>
                <c:pt idx="17">
                  <c:v>-101.61557317563475</c:v>
                </c:pt>
                <c:pt idx="18">
                  <c:v>-186.4864575375674</c:v>
                </c:pt>
                <c:pt idx="19">
                  <c:v>-164.28950553147232</c:v>
                </c:pt>
                <c:pt idx="20">
                  <c:v>-123.81252518172984</c:v>
                </c:pt>
                <c:pt idx="21">
                  <c:v>-184.52799570634352</c:v>
                </c:pt>
                <c:pt idx="22">
                  <c:v>-103.57403500685862</c:v>
                </c:pt>
                <c:pt idx="23">
                  <c:v>-225.0049760560859</c:v>
                </c:pt>
                <c:pt idx="24">
                  <c:v>-63.097054657116246</c:v>
                </c:pt>
                <c:pt idx="25">
                  <c:v>-147.6466877444523</c:v>
                </c:pt>
                <c:pt idx="26">
                  <c:v>-287.8564770696819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0-4EC3-9D3B-48EE2665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Case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>
            <a:solidFill>
              <a:srgbClr val="A6A6A6"/>
            </a:solidFill>
          </a:ln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ea typeface="Times New Roman"/>
                    <a:cs typeface="Times New Roman"/>
                  </a:defRPr>
                </a:pPr>
                <a:r>
                  <a:rPr lang="en-US">
                    <a:latin typeface="Times New Roman" panose="02020603050405020304" pitchFamily="18" charset="0"/>
                  </a:rPr>
                  <a:t>THB bn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"/>
        <c:crosses val="max"/>
        <c:crossBetween val="between"/>
        <c:majorUnit val="50"/>
      </c:valAx>
    </c:plotArea>
    <c:legend>
      <c:legendPos val="b"/>
      <c:layout>
        <c:manualLayout>
          <c:xMode val="edge"/>
          <c:yMode val="edge"/>
          <c:x val="0.27641452991452992"/>
          <c:y val="0.96957134335480799"/>
          <c:w val="0.44717083333333335"/>
          <c:h val="2.739835361488905E-2"/>
        </c:manualLayout>
      </c:layout>
      <c:overlay val="1"/>
      <c:txPr>
        <a:bodyPr/>
        <a:lstStyle/>
        <a:p>
          <a:pPr>
            <a:defRPr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40404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86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50</xdr:row>
      <xdr:rowOff>0</xdr:rowOff>
    </xdr:from>
    <xdr:ext cx="9360000" cy="838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58" customWidth="1"/>
    <col min="2" max="2" width="26" customWidth="1"/>
    <col min="3" max="5" width="16" customWidth="1"/>
    <col min="6" max="6" width="1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t="s">
        <v>6</v>
      </c>
      <c r="C2">
        <v>200</v>
      </c>
      <c r="F2" t="s">
        <v>8</v>
      </c>
    </row>
    <row r="3" spans="1:6" x14ac:dyDescent="0.3">
      <c r="A3" t="s">
        <v>9</v>
      </c>
      <c r="B3" t="s">
        <v>6</v>
      </c>
      <c r="C3">
        <v>100</v>
      </c>
      <c r="F3" t="s">
        <v>10</v>
      </c>
    </row>
    <row r="4" spans="1:6" x14ac:dyDescent="0.3">
      <c r="A4" t="s">
        <v>11</v>
      </c>
      <c r="B4" t="s">
        <v>12</v>
      </c>
      <c r="C4">
        <v>10</v>
      </c>
      <c r="F4" t="s">
        <v>13</v>
      </c>
    </row>
    <row r="5" spans="1:6" x14ac:dyDescent="0.3">
      <c r="A5" t="s">
        <v>14</v>
      </c>
      <c r="B5" t="s">
        <v>6</v>
      </c>
      <c r="C5">
        <v>150</v>
      </c>
      <c r="F5" t="s">
        <v>13</v>
      </c>
    </row>
    <row r="6" spans="1:6" x14ac:dyDescent="0.3">
      <c r="A6" t="s">
        <v>15</v>
      </c>
      <c r="B6" t="s">
        <v>16</v>
      </c>
      <c r="C6">
        <v>1</v>
      </c>
      <c r="F6" t="s">
        <v>13</v>
      </c>
    </row>
    <row r="7" spans="1:6" x14ac:dyDescent="0.3">
      <c r="A7" t="s">
        <v>17</v>
      </c>
      <c r="B7" t="s">
        <v>18</v>
      </c>
      <c r="C7">
        <v>0.09</v>
      </c>
      <c r="F7" t="s">
        <v>19</v>
      </c>
    </row>
    <row r="8" spans="1:6" x14ac:dyDescent="0.3">
      <c r="A8" t="s">
        <v>20</v>
      </c>
      <c r="B8" t="s">
        <v>18</v>
      </c>
      <c r="C8">
        <v>0.06</v>
      </c>
      <c r="F8" t="s">
        <v>19</v>
      </c>
    </row>
    <row r="9" spans="1:6" x14ac:dyDescent="0.3">
      <c r="A9" t="s">
        <v>21</v>
      </c>
      <c r="B9" t="s">
        <v>18</v>
      </c>
      <c r="C9">
        <v>7.0000000000000007E-2</v>
      </c>
      <c r="F9" t="s">
        <v>22</v>
      </c>
    </row>
    <row r="10" spans="1:6" x14ac:dyDescent="0.3">
      <c r="A10" t="s">
        <v>23</v>
      </c>
      <c r="B10" t="s">
        <v>18</v>
      </c>
      <c r="C10">
        <v>0.12</v>
      </c>
      <c r="F10" t="s">
        <v>24</v>
      </c>
    </row>
    <row r="11" spans="1:6" x14ac:dyDescent="0.3">
      <c r="A11" t="s">
        <v>25</v>
      </c>
      <c r="B11" t="s">
        <v>26</v>
      </c>
      <c r="C11">
        <v>0.7</v>
      </c>
      <c r="F11" t="s">
        <v>27</v>
      </c>
    </row>
    <row r="12" spans="1:6" x14ac:dyDescent="0.3">
      <c r="A12" t="s">
        <v>28</v>
      </c>
      <c r="B12" t="s">
        <v>29</v>
      </c>
      <c r="C12">
        <v>20</v>
      </c>
      <c r="F12" t="s">
        <v>30</v>
      </c>
    </row>
    <row r="13" spans="1:6" x14ac:dyDescent="0.3">
      <c r="A13" t="s">
        <v>31</v>
      </c>
      <c r="B13" t="s">
        <v>18</v>
      </c>
      <c r="C13">
        <v>0.08</v>
      </c>
      <c r="F13" t="s">
        <v>30</v>
      </c>
    </row>
    <row r="14" spans="1:6" x14ac:dyDescent="0.3">
      <c r="A14" t="s">
        <v>32</v>
      </c>
      <c r="B14" t="s">
        <v>12</v>
      </c>
      <c r="C14">
        <v>7.5</v>
      </c>
      <c r="F14" t="s">
        <v>33</v>
      </c>
    </row>
    <row r="15" spans="1:6" x14ac:dyDescent="0.3">
      <c r="A15" t="s">
        <v>34</v>
      </c>
      <c r="B15" t="s">
        <v>35</v>
      </c>
      <c r="C15">
        <v>0.3</v>
      </c>
      <c r="F15" t="s">
        <v>33</v>
      </c>
    </row>
    <row r="16" spans="1:6" x14ac:dyDescent="0.3">
      <c r="A16" t="s">
        <v>36</v>
      </c>
      <c r="B16" t="s">
        <v>35</v>
      </c>
      <c r="C16">
        <v>0.3</v>
      </c>
      <c r="F16" t="s">
        <v>33</v>
      </c>
    </row>
    <row r="17" spans="1:6" x14ac:dyDescent="0.3">
      <c r="A17" t="s">
        <v>37</v>
      </c>
      <c r="B17" t="s">
        <v>38</v>
      </c>
      <c r="C17" s="5">
        <v>10000</v>
      </c>
      <c r="F17" t="s">
        <v>39</v>
      </c>
    </row>
    <row r="18" spans="1:6" x14ac:dyDescent="0.3">
      <c r="A18" t="s">
        <v>40</v>
      </c>
      <c r="B18" t="s">
        <v>35</v>
      </c>
      <c r="C18">
        <v>0.5</v>
      </c>
      <c r="F18" t="s">
        <v>33</v>
      </c>
    </row>
    <row r="19" spans="1:6" x14ac:dyDescent="0.3">
      <c r="A19" t="s">
        <v>41</v>
      </c>
      <c r="B19" t="s">
        <v>42</v>
      </c>
      <c r="C19">
        <v>6.5421000000000007E-2</v>
      </c>
      <c r="F19" t="s">
        <v>43</v>
      </c>
    </row>
    <row r="20" spans="1:6" x14ac:dyDescent="0.3">
      <c r="A20" t="s">
        <v>44</v>
      </c>
      <c r="B20" t="s">
        <v>45</v>
      </c>
      <c r="C20">
        <v>13.3</v>
      </c>
      <c r="F20" t="s">
        <v>33</v>
      </c>
    </row>
    <row r="21" spans="1:6" x14ac:dyDescent="0.3">
      <c r="A21" t="s">
        <v>46</v>
      </c>
      <c r="B21" t="s">
        <v>47</v>
      </c>
      <c r="C21">
        <v>33.521000000000001</v>
      </c>
      <c r="F21" t="s">
        <v>48</v>
      </c>
    </row>
    <row r="22" spans="1:6" x14ac:dyDescent="0.3">
      <c r="A22" t="s">
        <v>49</v>
      </c>
      <c r="B22" t="s">
        <v>50</v>
      </c>
      <c r="C22" s="5">
        <v>384881</v>
      </c>
      <c r="F22" t="s">
        <v>51</v>
      </c>
    </row>
    <row r="23" spans="1:6" x14ac:dyDescent="0.3">
      <c r="A23" t="s">
        <v>52</v>
      </c>
      <c r="B23" t="s">
        <v>50</v>
      </c>
      <c r="C23" s="5">
        <v>370210</v>
      </c>
      <c r="F23" t="s">
        <v>53</v>
      </c>
    </row>
    <row r="24" spans="1:6" x14ac:dyDescent="0.3">
      <c r="A24" t="s">
        <v>54</v>
      </c>
      <c r="B24" t="s">
        <v>50</v>
      </c>
      <c r="C24" s="5">
        <v>1665004</v>
      </c>
      <c r="F24" t="s">
        <v>53</v>
      </c>
    </row>
    <row r="25" spans="1:6" x14ac:dyDescent="0.3">
      <c r="A25" t="s">
        <v>55</v>
      </c>
      <c r="B25" t="s">
        <v>56</v>
      </c>
      <c r="C25" s="5">
        <v>3700000</v>
      </c>
      <c r="F25" t="s">
        <v>57</v>
      </c>
    </row>
    <row r="26" spans="1:6" x14ac:dyDescent="0.3">
      <c r="A26" t="s">
        <v>58</v>
      </c>
      <c r="B26" t="s">
        <v>56</v>
      </c>
      <c r="C26" s="5">
        <v>60000000</v>
      </c>
      <c r="F26" t="s">
        <v>57</v>
      </c>
    </row>
    <row r="27" spans="1:6" x14ac:dyDescent="0.3">
      <c r="A27" t="s">
        <v>59</v>
      </c>
      <c r="B27" t="s">
        <v>50</v>
      </c>
      <c r="C27" s="5">
        <v>65425879</v>
      </c>
      <c r="F27" t="s">
        <v>60</v>
      </c>
    </row>
    <row r="28" spans="1:6" x14ac:dyDescent="0.3">
      <c r="A28" t="s">
        <v>61</v>
      </c>
      <c r="B28" t="s">
        <v>50</v>
      </c>
      <c r="C28" s="5">
        <v>62234693</v>
      </c>
      <c r="F28" t="s">
        <v>62</v>
      </c>
    </row>
    <row r="29" spans="1:6" x14ac:dyDescent="0.3">
      <c r="A29" t="s">
        <v>63</v>
      </c>
      <c r="B29" t="s">
        <v>50</v>
      </c>
      <c r="C29" s="5">
        <v>30490635</v>
      </c>
      <c r="F29" t="s">
        <v>62</v>
      </c>
    </row>
    <row r="30" spans="1:6" x14ac:dyDescent="0.3">
      <c r="A30" t="s">
        <v>64</v>
      </c>
      <c r="B30" t="s">
        <v>50</v>
      </c>
      <c r="C30" s="5">
        <v>41313439</v>
      </c>
      <c r="F30" t="s">
        <v>60</v>
      </c>
    </row>
    <row r="31" spans="1:6" x14ac:dyDescent="0.3">
      <c r="A31" t="s">
        <v>65</v>
      </c>
      <c r="B31" t="s">
        <v>56</v>
      </c>
      <c r="C31" s="5">
        <v>30000000</v>
      </c>
      <c r="F31" t="s">
        <v>66</v>
      </c>
    </row>
    <row r="32" spans="1:6" x14ac:dyDescent="0.3">
      <c r="A32" t="s">
        <v>67</v>
      </c>
      <c r="B32" t="s">
        <v>50</v>
      </c>
      <c r="C32" s="5">
        <v>100058695</v>
      </c>
      <c r="F32" t="s">
        <v>68</v>
      </c>
    </row>
    <row r="33" spans="1:6" x14ac:dyDescent="0.3">
      <c r="A33" t="s">
        <v>69</v>
      </c>
      <c r="B33" t="s">
        <v>50</v>
      </c>
      <c r="C33" s="5">
        <v>124033786</v>
      </c>
      <c r="F33" t="s">
        <v>62</v>
      </c>
    </row>
    <row r="34" spans="1:6" x14ac:dyDescent="0.3">
      <c r="A34" t="s">
        <v>70</v>
      </c>
      <c r="B34" t="s">
        <v>71</v>
      </c>
      <c r="C34" s="5">
        <v>956372</v>
      </c>
      <c r="F34" t="s">
        <v>72</v>
      </c>
    </row>
    <row r="35" spans="1:6" x14ac:dyDescent="0.3">
      <c r="A35" t="s">
        <v>73</v>
      </c>
      <c r="B35" t="s">
        <v>74</v>
      </c>
      <c r="C35" s="5">
        <v>30786</v>
      </c>
      <c r="F35" t="s">
        <v>75</v>
      </c>
    </row>
    <row r="36" spans="1:6" x14ac:dyDescent="0.3">
      <c r="A36" t="s">
        <v>76</v>
      </c>
      <c r="B36" t="s">
        <v>71</v>
      </c>
      <c r="C36" s="5">
        <v>719300</v>
      </c>
      <c r="F36" t="s">
        <v>77</v>
      </c>
    </row>
    <row r="37" spans="1:6" x14ac:dyDescent="0.3">
      <c r="A37" t="s">
        <v>78</v>
      </c>
      <c r="B37" t="s">
        <v>71</v>
      </c>
      <c r="C37" s="5">
        <v>31581</v>
      </c>
      <c r="F37" t="s">
        <v>79</v>
      </c>
    </row>
    <row r="38" spans="1:6" x14ac:dyDescent="0.3">
      <c r="A38" t="s">
        <v>80</v>
      </c>
      <c r="B38" t="s">
        <v>81</v>
      </c>
      <c r="C38" s="5">
        <v>31581</v>
      </c>
      <c r="F38" t="s">
        <v>82</v>
      </c>
    </row>
    <row r="39" spans="1:6" x14ac:dyDescent="0.3">
      <c r="A39" t="s">
        <v>83</v>
      </c>
      <c r="B39" t="s">
        <v>81</v>
      </c>
      <c r="C39" s="5">
        <v>34743</v>
      </c>
      <c r="F39" t="s">
        <v>84</v>
      </c>
    </row>
    <row r="40" spans="1:6" x14ac:dyDescent="0.3">
      <c r="A40" t="s">
        <v>85</v>
      </c>
      <c r="B40" t="s">
        <v>86</v>
      </c>
      <c r="C40">
        <v>71</v>
      </c>
      <c r="F40" t="s">
        <v>82</v>
      </c>
    </row>
    <row r="41" spans="1:6" x14ac:dyDescent="0.3">
      <c r="A41" t="s">
        <v>87</v>
      </c>
      <c r="B41" t="s">
        <v>86</v>
      </c>
      <c r="C41">
        <v>80.42</v>
      </c>
      <c r="F41" t="s">
        <v>88</v>
      </c>
    </row>
    <row r="42" spans="1:6" x14ac:dyDescent="0.3">
      <c r="A42" t="s">
        <v>89</v>
      </c>
      <c r="B42" t="s">
        <v>90</v>
      </c>
      <c r="C42">
        <v>65.5</v>
      </c>
      <c r="F42" t="s">
        <v>91</v>
      </c>
    </row>
    <row r="43" spans="1:6" x14ac:dyDescent="0.3">
      <c r="A43" t="s">
        <v>92</v>
      </c>
      <c r="B43" t="s">
        <v>86</v>
      </c>
      <c r="C43">
        <v>80.400000000000006</v>
      </c>
      <c r="F43" t="s">
        <v>93</v>
      </c>
    </row>
    <row r="44" spans="1:6" x14ac:dyDescent="0.3">
      <c r="A44" t="s">
        <v>94</v>
      </c>
      <c r="B44" t="s">
        <v>95</v>
      </c>
      <c r="C44" s="5">
        <v>24780000</v>
      </c>
      <c r="F44" t="s">
        <v>93</v>
      </c>
    </row>
    <row r="45" spans="1:6" x14ac:dyDescent="0.3">
      <c r="A45" t="s">
        <v>96</v>
      </c>
      <c r="B45" t="s">
        <v>95</v>
      </c>
      <c r="C45" s="5">
        <v>10450000</v>
      </c>
      <c r="F45" t="s">
        <v>93</v>
      </c>
    </row>
    <row r="46" spans="1:6" x14ac:dyDescent="0.3">
      <c r="A46" t="s">
        <v>97</v>
      </c>
      <c r="B46" t="s">
        <v>95</v>
      </c>
      <c r="C46" s="5">
        <v>11689827</v>
      </c>
      <c r="F46" t="s">
        <v>98</v>
      </c>
    </row>
    <row r="47" spans="1:6" x14ac:dyDescent="0.3">
      <c r="A47" t="s">
        <v>99</v>
      </c>
      <c r="B47" t="s">
        <v>95</v>
      </c>
      <c r="C47" s="5">
        <v>9966574</v>
      </c>
      <c r="F47" t="s">
        <v>98</v>
      </c>
    </row>
    <row r="48" spans="1:6" x14ac:dyDescent="0.3">
      <c r="A48" t="s">
        <v>100</v>
      </c>
      <c r="B48" t="s">
        <v>101</v>
      </c>
      <c r="F48" t="s">
        <v>102</v>
      </c>
    </row>
    <row r="49" spans="1:6" x14ac:dyDescent="0.3">
      <c r="A49" t="s">
        <v>103</v>
      </c>
      <c r="B49" t="s">
        <v>104</v>
      </c>
      <c r="C49" s="5">
        <v>2031</v>
      </c>
      <c r="F49" t="s">
        <v>105</v>
      </c>
    </row>
    <row r="50" spans="1:6" x14ac:dyDescent="0.3">
      <c r="A50" t="s">
        <v>106</v>
      </c>
      <c r="B50" t="s">
        <v>104</v>
      </c>
      <c r="C50" s="5">
        <v>2031</v>
      </c>
      <c r="F50" t="s">
        <v>107</v>
      </c>
    </row>
    <row r="51" spans="1:6" x14ac:dyDescent="0.3">
      <c r="A51" t="s">
        <v>108</v>
      </c>
      <c r="B51" t="s">
        <v>104</v>
      </c>
      <c r="C51" s="5">
        <v>2029</v>
      </c>
      <c r="F51" t="s">
        <v>109</v>
      </c>
    </row>
    <row r="52" spans="1:6" x14ac:dyDescent="0.3">
      <c r="A52" t="s">
        <v>110</v>
      </c>
      <c r="B52" t="s">
        <v>111</v>
      </c>
      <c r="F52" t="s">
        <v>112</v>
      </c>
    </row>
    <row r="53" spans="1:6" x14ac:dyDescent="0.3">
      <c r="A53" t="s">
        <v>113</v>
      </c>
      <c r="B53" t="s">
        <v>114</v>
      </c>
      <c r="C53">
        <v>1.92</v>
      </c>
      <c r="F53" t="s">
        <v>115</v>
      </c>
    </row>
    <row r="54" spans="1:6" x14ac:dyDescent="0.3">
      <c r="A54" t="s">
        <v>116</v>
      </c>
      <c r="B54" t="s">
        <v>104</v>
      </c>
      <c r="C54" s="5">
        <v>2028</v>
      </c>
      <c r="F54" t="s">
        <v>117</v>
      </c>
    </row>
    <row r="55" spans="1:6" x14ac:dyDescent="0.3">
      <c r="A55" t="s">
        <v>118</v>
      </c>
      <c r="B55" t="s">
        <v>119</v>
      </c>
      <c r="C55" s="5">
        <v>2020</v>
      </c>
      <c r="F55" t="s">
        <v>120</v>
      </c>
    </row>
    <row r="56" spans="1:6" x14ac:dyDescent="0.3">
      <c r="A56" t="s">
        <v>121</v>
      </c>
      <c r="B56" t="s">
        <v>122</v>
      </c>
      <c r="C56" s="5">
        <v>50900</v>
      </c>
      <c r="F56" t="s">
        <v>93</v>
      </c>
    </row>
    <row r="57" spans="1:6" x14ac:dyDescent="0.3">
      <c r="A57" t="s">
        <v>123</v>
      </c>
      <c r="B57" t="s">
        <v>124</v>
      </c>
      <c r="C57" s="5">
        <v>88512</v>
      </c>
      <c r="F57" t="s">
        <v>93</v>
      </c>
    </row>
    <row r="58" spans="1:6" x14ac:dyDescent="0.3">
      <c r="A58" t="s">
        <v>125</v>
      </c>
      <c r="B58" t="s">
        <v>126</v>
      </c>
      <c r="C58" s="5">
        <v>8834</v>
      </c>
      <c r="F58" t="s">
        <v>93</v>
      </c>
    </row>
    <row r="59" spans="1:6" x14ac:dyDescent="0.3">
      <c r="A59" t="s">
        <v>127</v>
      </c>
      <c r="B59" t="s">
        <v>128</v>
      </c>
      <c r="F59" t="s">
        <v>93</v>
      </c>
    </row>
    <row r="60" spans="1:6" x14ac:dyDescent="0.3">
      <c r="A60" t="s">
        <v>129</v>
      </c>
      <c r="B60" t="s">
        <v>124</v>
      </c>
      <c r="F60" t="s">
        <v>130</v>
      </c>
    </row>
    <row r="61" spans="1:6" x14ac:dyDescent="0.3">
      <c r="A61" t="s">
        <v>131</v>
      </c>
      <c r="B61" t="s">
        <v>132</v>
      </c>
      <c r="C61" s="5">
        <v>48580</v>
      </c>
      <c r="F61" t="s">
        <v>133</v>
      </c>
    </row>
    <row r="62" spans="1:6" x14ac:dyDescent="0.3">
      <c r="A62" t="s">
        <v>134</v>
      </c>
      <c r="B62" t="s">
        <v>135</v>
      </c>
      <c r="C62" s="5">
        <v>5172.29</v>
      </c>
      <c r="F62" t="s">
        <v>136</v>
      </c>
    </row>
    <row r="63" spans="1:6" x14ac:dyDescent="0.3">
      <c r="A63" t="s">
        <v>137</v>
      </c>
      <c r="B63" t="s">
        <v>138</v>
      </c>
      <c r="C63">
        <v>9.6</v>
      </c>
      <c r="F63" t="s">
        <v>139</v>
      </c>
    </row>
    <row r="64" spans="1:6" x14ac:dyDescent="0.3">
      <c r="A64" t="s">
        <v>140</v>
      </c>
      <c r="B64" t="s">
        <v>138</v>
      </c>
      <c r="C64">
        <v>9.4</v>
      </c>
      <c r="F64" t="s">
        <v>141</v>
      </c>
    </row>
    <row r="65" spans="1:6" x14ac:dyDescent="0.3">
      <c r="A65" t="s">
        <v>142</v>
      </c>
      <c r="B65" t="s">
        <v>143</v>
      </c>
      <c r="F65" t="s">
        <v>93</v>
      </c>
    </row>
    <row r="66" spans="1:6" x14ac:dyDescent="0.3">
      <c r="A66" t="s">
        <v>144</v>
      </c>
      <c r="B66" t="s">
        <v>145</v>
      </c>
      <c r="C66" s="5">
        <v>4000</v>
      </c>
      <c r="F66" t="s">
        <v>93</v>
      </c>
    </row>
    <row r="67" spans="1:6" x14ac:dyDescent="0.3">
      <c r="A67" t="s">
        <v>146</v>
      </c>
      <c r="B67" t="s">
        <v>147</v>
      </c>
      <c r="F67" t="s">
        <v>93</v>
      </c>
    </row>
    <row r="68" spans="1:6" x14ac:dyDescent="0.3">
      <c r="A68" t="s">
        <v>148</v>
      </c>
      <c r="B68" t="s">
        <v>95</v>
      </c>
      <c r="C68" s="5">
        <v>32974321</v>
      </c>
      <c r="F68" t="s">
        <v>149</v>
      </c>
    </row>
    <row r="69" spans="1:6" x14ac:dyDescent="0.3">
      <c r="A69" t="s">
        <v>150</v>
      </c>
      <c r="B69" t="s">
        <v>95</v>
      </c>
      <c r="C69" s="5">
        <v>35545714</v>
      </c>
      <c r="F69" t="s">
        <v>151</v>
      </c>
    </row>
    <row r="70" spans="1:6" x14ac:dyDescent="0.3">
      <c r="A70" t="s">
        <v>152</v>
      </c>
      <c r="B70" t="s">
        <v>95</v>
      </c>
      <c r="C70" s="5">
        <v>39916251</v>
      </c>
      <c r="F70" t="s">
        <v>153</v>
      </c>
    </row>
    <row r="71" spans="1:6" x14ac:dyDescent="0.3">
      <c r="A71" t="s">
        <v>154</v>
      </c>
      <c r="B71" t="s">
        <v>95</v>
      </c>
      <c r="C71" s="5">
        <v>6725000</v>
      </c>
      <c r="F71" t="s">
        <v>155</v>
      </c>
    </row>
    <row r="72" spans="1:6" x14ac:dyDescent="0.3">
      <c r="A72" t="s">
        <v>156</v>
      </c>
      <c r="B72" t="s">
        <v>6</v>
      </c>
      <c r="C72" s="5">
        <v>1587.2080000000001</v>
      </c>
      <c r="F72" t="s">
        <v>149</v>
      </c>
    </row>
    <row r="73" spans="1:6" x14ac:dyDescent="0.3">
      <c r="A73" t="s">
        <v>157</v>
      </c>
      <c r="B73" t="s">
        <v>6</v>
      </c>
      <c r="C73" s="5">
        <v>1612.6030000000001</v>
      </c>
      <c r="F73" t="s">
        <v>141</v>
      </c>
    </row>
    <row r="74" spans="1:6" x14ac:dyDescent="0.3">
      <c r="A74" t="s">
        <v>158</v>
      </c>
      <c r="B74" t="s">
        <v>159</v>
      </c>
      <c r="C74">
        <v>59.81</v>
      </c>
      <c r="F74" t="s">
        <v>160</v>
      </c>
    </row>
    <row r="75" spans="1:6" x14ac:dyDescent="0.3">
      <c r="A75" t="s">
        <v>161</v>
      </c>
      <c r="B75" t="s">
        <v>159</v>
      </c>
      <c r="C75">
        <v>14.198</v>
      </c>
      <c r="F75" t="s">
        <v>160</v>
      </c>
    </row>
    <row r="76" spans="1:6" x14ac:dyDescent="0.3">
      <c r="A76" t="s">
        <v>162</v>
      </c>
      <c r="B76" t="s">
        <v>6</v>
      </c>
      <c r="C76" s="5">
        <v>1400</v>
      </c>
      <c r="F76" t="s">
        <v>93</v>
      </c>
    </row>
    <row r="77" spans="1:6" x14ac:dyDescent="0.3">
      <c r="A77" t="s">
        <v>163</v>
      </c>
      <c r="B77" t="s">
        <v>164</v>
      </c>
      <c r="C77">
        <v>498</v>
      </c>
      <c r="F77" t="s">
        <v>165</v>
      </c>
    </row>
    <row r="78" spans="1:6" x14ac:dyDescent="0.3">
      <c r="A78" t="s">
        <v>166</v>
      </c>
      <c r="B78" t="s">
        <v>167</v>
      </c>
      <c r="C78">
        <v>76</v>
      </c>
      <c r="F78" t="s">
        <v>168</v>
      </c>
    </row>
    <row r="79" spans="1:6" x14ac:dyDescent="0.3">
      <c r="A79" t="s">
        <v>169</v>
      </c>
      <c r="B79" t="s">
        <v>170</v>
      </c>
      <c r="F79" t="s">
        <v>93</v>
      </c>
    </row>
    <row r="80" spans="1:6" x14ac:dyDescent="0.3">
      <c r="A80" t="s">
        <v>171</v>
      </c>
      <c r="B80" t="s">
        <v>172</v>
      </c>
      <c r="C80">
        <v>6.5</v>
      </c>
      <c r="F80" t="s">
        <v>173</v>
      </c>
    </row>
    <row r="81" spans="1:6" x14ac:dyDescent="0.3">
      <c r="A81" t="s">
        <v>174</v>
      </c>
      <c r="B81" t="s">
        <v>172</v>
      </c>
      <c r="C81">
        <v>7.7</v>
      </c>
      <c r="F81" t="s">
        <v>175</v>
      </c>
    </row>
    <row r="82" spans="1:6" x14ac:dyDescent="0.3">
      <c r="A82" t="s">
        <v>176</v>
      </c>
      <c r="B82" t="s">
        <v>172</v>
      </c>
      <c r="C82">
        <v>7.5</v>
      </c>
      <c r="F82" t="s">
        <v>177</v>
      </c>
    </row>
    <row r="83" spans="1:6" x14ac:dyDescent="0.3">
      <c r="A83" t="s">
        <v>178</v>
      </c>
      <c r="B83" t="s">
        <v>179</v>
      </c>
      <c r="C83" s="5">
        <v>8694</v>
      </c>
      <c r="F83" t="s">
        <v>180</v>
      </c>
    </row>
    <row r="84" spans="1:6" x14ac:dyDescent="0.3">
      <c r="A84" t="s">
        <v>181</v>
      </c>
      <c r="B84" t="s">
        <v>179</v>
      </c>
      <c r="C84">
        <v>536</v>
      </c>
      <c r="F84" t="s">
        <v>180</v>
      </c>
    </row>
    <row r="85" spans="1:6" x14ac:dyDescent="0.3">
      <c r="A85" t="s">
        <v>182</v>
      </c>
      <c r="B85" t="s">
        <v>183</v>
      </c>
      <c r="C85">
        <v>669</v>
      </c>
      <c r="F85" t="s">
        <v>184</v>
      </c>
    </row>
    <row r="86" spans="1:6" x14ac:dyDescent="0.3">
      <c r="A86" t="s">
        <v>185</v>
      </c>
      <c r="B86" t="s">
        <v>183</v>
      </c>
      <c r="C86">
        <v>939</v>
      </c>
      <c r="F86" t="s">
        <v>184</v>
      </c>
    </row>
    <row r="87" spans="1:6" x14ac:dyDescent="0.3">
      <c r="A87" t="s">
        <v>186</v>
      </c>
      <c r="B87" t="s">
        <v>187</v>
      </c>
      <c r="C87">
        <v>41</v>
      </c>
      <c r="F87" t="s">
        <v>173</v>
      </c>
    </row>
    <row r="88" spans="1:6" x14ac:dyDescent="0.3">
      <c r="A88" t="s">
        <v>188</v>
      </c>
      <c r="B88" t="s">
        <v>187</v>
      </c>
      <c r="C88">
        <v>33</v>
      </c>
      <c r="F88" t="s">
        <v>173</v>
      </c>
    </row>
    <row r="89" spans="1:6" x14ac:dyDescent="0.3">
      <c r="A89" t="s">
        <v>189</v>
      </c>
      <c r="B89" t="s">
        <v>187</v>
      </c>
      <c r="C89">
        <v>26</v>
      </c>
      <c r="F89" t="s">
        <v>173</v>
      </c>
    </row>
    <row r="90" spans="1:6" x14ac:dyDescent="0.3">
      <c r="A90" t="s">
        <v>190</v>
      </c>
      <c r="B90" t="s">
        <v>172</v>
      </c>
      <c r="C90">
        <v>3.46</v>
      </c>
      <c r="F90" t="s">
        <v>191</v>
      </c>
    </row>
    <row r="91" spans="1:6" x14ac:dyDescent="0.3">
      <c r="A91" t="s">
        <v>192</v>
      </c>
      <c r="B91" t="s">
        <v>172</v>
      </c>
      <c r="C91">
        <v>1.25</v>
      </c>
      <c r="F91" t="s">
        <v>191</v>
      </c>
    </row>
    <row r="92" spans="1:6" x14ac:dyDescent="0.3">
      <c r="A92" t="s">
        <v>193</v>
      </c>
      <c r="B92" t="s">
        <v>172</v>
      </c>
      <c r="C92">
        <v>5.7</v>
      </c>
      <c r="F92" t="s">
        <v>194</v>
      </c>
    </row>
    <row r="93" spans="1:6" x14ac:dyDescent="0.3">
      <c r="A93" t="s">
        <v>195</v>
      </c>
      <c r="B93" t="s">
        <v>179</v>
      </c>
      <c r="C93" s="5">
        <v>1280</v>
      </c>
      <c r="F93" t="s">
        <v>196</v>
      </c>
    </row>
    <row r="94" spans="1:6" x14ac:dyDescent="0.3">
      <c r="A94" t="s">
        <v>197</v>
      </c>
      <c r="B94" t="s">
        <v>179</v>
      </c>
      <c r="C94">
        <v>274.7</v>
      </c>
      <c r="F94" t="s">
        <v>191</v>
      </c>
    </row>
    <row r="95" spans="1:6" x14ac:dyDescent="0.3">
      <c r="A95" t="s">
        <v>198</v>
      </c>
      <c r="B95" t="s">
        <v>179</v>
      </c>
      <c r="C95" s="5">
        <v>1734.9</v>
      </c>
      <c r="F95" t="s">
        <v>199</v>
      </c>
    </row>
    <row r="96" spans="1:6" x14ac:dyDescent="0.3">
      <c r="A96" t="s">
        <v>200</v>
      </c>
      <c r="B96" t="s">
        <v>179</v>
      </c>
      <c r="C96" s="5">
        <v>1554.7</v>
      </c>
      <c r="F96" t="s">
        <v>201</v>
      </c>
    </row>
    <row r="97" spans="1:6" x14ac:dyDescent="0.3">
      <c r="A97" t="s">
        <v>202</v>
      </c>
      <c r="B97" t="s">
        <v>179</v>
      </c>
      <c r="C97" s="5">
        <v>1543.9</v>
      </c>
      <c r="F97" t="s">
        <v>203</v>
      </c>
    </row>
    <row r="98" spans="1:6" x14ac:dyDescent="0.3">
      <c r="A98" t="s">
        <v>204</v>
      </c>
      <c r="B98" t="s">
        <v>183</v>
      </c>
      <c r="C98">
        <v>498</v>
      </c>
      <c r="F98" t="s">
        <v>93</v>
      </c>
    </row>
    <row r="99" spans="1:6" x14ac:dyDescent="0.3">
      <c r="A99" t="s">
        <v>205</v>
      </c>
      <c r="B99" t="s">
        <v>172</v>
      </c>
      <c r="F99" t="s">
        <v>93</v>
      </c>
    </row>
    <row r="100" spans="1:6" x14ac:dyDescent="0.3">
      <c r="A100" t="s">
        <v>206</v>
      </c>
      <c r="B100" t="s">
        <v>207</v>
      </c>
      <c r="C100" s="5">
        <v>67000</v>
      </c>
      <c r="F100" t="s">
        <v>208</v>
      </c>
    </row>
    <row r="101" spans="1:6" x14ac:dyDescent="0.3">
      <c r="A101" t="s">
        <v>209</v>
      </c>
      <c r="B101" t="s">
        <v>210</v>
      </c>
      <c r="C101">
        <v>5.1929999999999996</v>
      </c>
      <c r="F101" t="s">
        <v>211</v>
      </c>
    </row>
    <row r="102" spans="1:6" x14ac:dyDescent="0.3">
      <c r="A102" t="s">
        <v>212</v>
      </c>
      <c r="B102" t="s">
        <v>210</v>
      </c>
      <c r="C102">
        <v>5.2569999999999997</v>
      </c>
      <c r="F102" t="s">
        <v>213</v>
      </c>
    </row>
    <row r="103" spans="1:6" x14ac:dyDescent="0.3">
      <c r="A103" t="s">
        <v>214</v>
      </c>
      <c r="B103" t="s">
        <v>172</v>
      </c>
      <c r="C103">
        <v>14.7</v>
      </c>
      <c r="F103" t="s">
        <v>215</v>
      </c>
    </row>
    <row r="104" spans="1:6" x14ac:dyDescent="0.3">
      <c r="A104" t="s">
        <v>216</v>
      </c>
      <c r="B104" t="s">
        <v>172</v>
      </c>
      <c r="C104">
        <v>11.21</v>
      </c>
      <c r="F104" t="s">
        <v>217</v>
      </c>
    </row>
    <row r="105" spans="1:6" x14ac:dyDescent="0.3">
      <c r="A105" t="s">
        <v>218</v>
      </c>
      <c r="B105" t="s">
        <v>219</v>
      </c>
      <c r="C105">
        <v>2.3199999999999998E-2</v>
      </c>
      <c r="F105" t="s">
        <v>93</v>
      </c>
    </row>
    <row r="106" spans="1:6" x14ac:dyDescent="0.3">
      <c r="A106" t="s">
        <v>220</v>
      </c>
      <c r="B106" t="s">
        <v>221</v>
      </c>
      <c r="C106">
        <v>0.2</v>
      </c>
      <c r="F106" t="s">
        <v>222</v>
      </c>
    </row>
    <row r="107" spans="1:6" x14ac:dyDescent="0.3">
      <c r="A107" t="s">
        <v>223</v>
      </c>
      <c r="B107" t="s">
        <v>18</v>
      </c>
      <c r="C107">
        <v>0.1</v>
      </c>
      <c r="F107" t="s">
        <v>224</v>
      </c>
    </row>
    <row r="108" spans="1:6" x14ac:dyDescent="0.3">
      <c r="A108" t="s">
        <v>225</v>
      </c>
      <c r="B108" t="s">
        <v>226</v>
      </c>
      <c r="C108">
        <v>7.0000000000000007E-2</v>
      </c>
      <c r="F108" t="s">
        <v>227</v>
      </c>
    </row>
    <row r="109" spans="1:6" x14ac:dyDescent="0.3">
      <c r="A109" t="s">
        <v>228</v>
      </c>
      <c r="B109" t="s">
        <v>29</v>
      </c>
      <c r="C109">
        <v>20</v>
      </c>
      <c r="F109" t="s">
        <v>229</v>
      </c>
    </row>
    <row r="110" spans="1:6" x14ac:dyDescent="0.3">
      <c r="A110" t="s">
        <v>230</v>
      </c>
      <c r="B110" t="s">
        <v>29</v>
      </c>
      <c r="C110">
        <v>30</v>
      </c>
      <c r="F110" t="s">
        <v>229</v>
      </c>
    </row>
    <row r="111" spans="1:6" x14ac:dyDescent="0.3">
      <c r="A111" t="s">
        <v>231</v>
      </c>
      <c r="B111" t="s">
        <v>29</v>
      </c>
      <c r="C111">
        <v>20</v>
      </c>
      <c r="F111" t="s">
        <v>232</v>
      </c>
    </row>
    <row r="112" spans="1:6" x14ac:dyDescent="0.3">
      <c r="A112" t="s">
        <v>233</v>
      </c>
      <c r="B112" t="s">
        <v>29</v>
      </c>
      <c r="C112">
        <v>25</v>
      </c>
      <c r="F112" t="s">
        <v>232</v>
      </c>
    </row>
    <row r="113" spans="1:6" x14ac:dyDescent="0.3">
      <c r="A113" t="s">
        <v>234</v>
      </c>
      <c r="B113" t="s">
        <v>29</v>
      </c>
      <c r="C113">
        <v>25</v>
      </c>
      <c r="F113" t="s">
        <v>235</v>
      </c>
    </row>
    <row r="114" spans="1:6" x14ac:dyDescent="0.3">
      <c r="A114" t="s">
        <v>236</v>
      </c>
      <c r="B114" t="s">
        <v>29</v>
      </c>
      <c r="C114">
        <v>20</v>
      </c>
      <c r="F114" t="s">
        <v>237</v>
      </c>
    </row>
    <row r="115" spans="1:6" x14ac:dyDescent="0.3">
      <c r="A115" t="s">
        <v>238</v>
      </c>
      <c r="B115" t="s">
        <v>29</v>
      </c>
      <c r="C115">
        <v>2</v>
      </c>
      <c r="F115" t="s">
        <v>237</v>
      </c>
    </row>
    <row r="116" spans="1:6" x14ac:dyDescent="0.3">
      <c r="A116" t="s">
        <v>239</v>
      </c>
      <c r="B116" t="s">
        <v>29</v>
      </c>
      <c r="C116">
        <v>30</v>
      </c>
      <c r="F116" t="s">
        <v>240</v>
      </c>
    </row>
    <row r="117" spans="1:6" x14ac:dyDescent="0.3">
      <c r="A117" t="s">
        <v>241</v>
      </c>
      <c r="B117" t="s">
        <v>29</v>
      </c>
      <c r="C117">
        <v>12</v>
      </c>
      <c r="F117" t="s">
        <v>242</v>
      </c>
    </row>
    <row r="118" spans="1:6" x14ac:dyDescent="0.3">
      <c r="A118" t="s">
        <v>243</v>
      </c>
      <c r="B118" t="s">
        <v>29</v>
      </c>
      <c r="C118">
        <v>5</v>
      </c>
      <c r="F118" t="s">
        <v>244</v>
      </c>
    </row>
    <row r="119" spans="1:6" x14ac:dyDescent="0.3">
      <c r="A119" t="s">
        <v>245</v>
      </c>
      <c r="B119" t="s">
        <v>29</v>
      </c>
      <c r="C119">
        <v>5</v>
      </c>
      <c r="F119" t="s">
        <v>246</v>
      </c>
    </row>
    <row r="120" spans="1:6" x14ac:dyDescent="0.3">
      <c r="A120" t="s">
        <v>247</v>
      </c>
      <c r="B120" t="s">
        <v>29</v>
      </c>
      <c r="C120">
        <v>15</v>
      </c>
      <c r="F120" t="s">
        <v>248</v>
      </c>
    </row>
    <row r="121" spans="1:6" x14ac:dyDescent="0.3">
      <c r="A121" t="s">
        <v>249</v>
      </c>
      <c r="B121" t="s">
        <v>26</v>
      </c>
      <c r="C121">
        <v>1.33</v>
      </c>
      <c r="F121" t="s">
        <v>250</v>
      </c>
    </row>
    <row r="122" spans="1:6" x14ac:dyDescent="0.3">
      <c r="A122" t="s">
        <v>251</v>
      </c>
      <c r="B122" t="s">
        <v>26</v>
      </c>
      <c r="C122">
        <v>0.8</v>
      </c>
      <c r="F122" t="s">
        <v>252</v>
      </c>
    </row>
    <row r="123" spans="1:6" x14ac:dyDescent="0.3">
      <c r="A123" t="s">
        <v>253</v>
      </c>
      <c r="B123" t="s">
        <v>18</v>
      </c>
      <c r="C123">
        <v>6.5500000000000003E-2</v>
      </c>
      <c r="F123" t="s">
        <v>254</v>
      </c>
    </row>
    <row r="124" spans="1:6" x14ac:dyDescent="0.3">
      <c r="A124" t="s">
        <v>255</v>
      </c>
      <c r="B124" t="s">
        <v>18</v>
      </c>
      <c r="C124">
        <v>7.5899999999999995E-2</v>
      </c>
      <c r="F124" t="s">
        <v>254</v>
      </c>
    </row>
    <row r="125" spans="1:6" x14ac:dyDescent="0.3">
      <c r="A125" t="s">
        <v>256</v>
      </c>
      <c r="B125" t="s">
        <v>29</v>
      </c>
      <c r="C125">
        <v>1</v>
      </c>
      <c r="F125" t="s">
        <v>257</v>
      </c>
    </row>
    <row r="126" spans="1:6" x14ac:dyDescent="0.3">
      <c r="A126" t="s">
        <v>258</v>
      </c>
      <c r="B126" t="s">
        <v>29</v>
      </c>
      <c r="C126">
        <v>20</v>
      </c>
      <c r="F126" t="s">
        <v>33</v>
      </c>
    </row>
    <row r="127" spans="1:6" x14ac:dyDescent="0.3">
      <c r="A127" t="s">
        <v>259</v>
      </c>
      <c r="B127" t="s">
        <v>29</v>
      </c>
      <c r="C127">
        <v>20</v>
      </c>
      <c r="F127" t="s">
        <v>260</v>
      </c>
    </row>
    <row r="128" spans="1:6" x14ac:dyDescent="0.3">
      <c r="A128" t="s">
        <v>261</v>
      </c>
      <c r="B128" t="s">
        <v>95</v>
      </c>
      <c r="C128" s="5">
        <v>428000</v>
      </c>
      <c r="F128" t="s">
        <v>155</v>
      </c>
    </row>
    <row r="129" spans="1:6" x14ac:dyDescent="0.3">
      <c r="A129" t="s">
        <v>262</v>
      </c>
      <c r="B129" t="s">
        <v>95</v>
      </c>
      <c r="C129" s="5">
        <v>11153000</v>
      </c>
      <c r="F129" t="s">
        <v>155</v>
      </c>
    </row>
    <row r="130" spans="1:6" x14ac:dyDescent="0.3">
      <c r="A130" t="s">
        <v>263</v>
      </c>
      <c r="B130" t="s">
        <v>95</v>
      </c>
      <c r="C130" s="5">
        <v>28150000</v>
      </c>
      <c r="F130" t="s">
        <v>155</v>
      </c>
    </row>
    <row r="131" spans="1:6" x14ac:dyDescent="0.3">
      <c r="A131" t="s">
        <v>264</v>
      </c>
      <c r="B131" t="s">
        <v>138</v>
      </c>
      <c r="C131">
        <v>9.5</v>
      </c>
      <c r="F131" t="s">
        <v>139</v>
      </c>
    </row>
    <row r="132" spans="1:6" x14ac:dyDescent="0.3">
      <c r="A132" t="s">
        <v>265</v>
      </c>
      <c r="B132" t="s">
        <v>179</v>
      </c>
      <c r="C132" s="5">
        <v>6705</v>
      </c>
      <c r="F132" t="s">
        <v>266</v>
      </c>
    </row>
    <row r="133" spans="1:6" x14ac:dyDescent="0.3">
      <c r="A133" t="s">
        <v>267</v>
      </c>
      <c r="B133" t="s">
        <v>179</v>
      </c>
      <c r="C133" s="5">
        <v>1455</v>
      </c>
      <c r="F133" t="s">
        <v>266</v>
      </c>
    </row>
    <row r="134" spans="1:6" x14ac:dyDescent="0.3">
      <c r="A134" t="s">
        <v>268</v>
      </c>
      <c r="B134" t="s">
        <v>179</v>
      </c>
      <c r="C134" s="5">
        <v>18396</v>
      </c>
      <c r="F134" t="s">
        <v>266</v>
      </c>
    </row>
    <row r="135" spans="1:6" x14ac:dyDescent="0.3">
      <c r="A135" t="s">
        <v>269</v>
      </c>
      <c r="B135" t="s">
        <v>71</v>
      </c>
      <c r="C135" s="5">
        <v>1750</v>
      </c>
      <c r="F135" t="s">
        <v>270</v>
      </c>
    </row>
    <row r="136" spans="1:6" x14ac:dyDescent="0.3">
      <c r="A136" t="s">
        <v>271</v>
      </c>
      <c r="B136" t="s">
        <v>35</v>
      </c>
      <c r="C136">
        <v>0.79</v>
      </c>
      <c r="F136" t="s">
        <v>272</v>
      </c>
    </row>
    <row r="137" spans="1:6" x14ac:dyDescent="0.3">
      <c r="A137" t="s">
        <v>273</v>
      </c>
      <c r="B137" t="s">
        <v>274</v>
      </c>
      <c r="C137">
        <v>4.2694000000000001</v>
      </c>
      <c r="F137" t="s">
        <v>275</v>
      </c>
    </row>
    <row r="138" spans="1:6" x14ac:dyDescent="0.3">
      <c r="A138" t="s">
        <v>276</v>
      </c>
      <c r="B138" t="s">
        <v>277</v>
      </c>
      <c r="C138" s="5">
        <v>3449</v>
      </c>
      <c r="F138" t="s">
        <v>278</v>
      </c>
    </row>
    <row r="139" spans="1:6" x14ac:dyDescent="0.3">
      <c r="A139" t="s">
        <v>279</v>
      </c>
      <c r="B139" t="s">
        <v>35</v>
      </c>
      <c r="C139">
        <v>0.65500000000000003</v>
      </c>
      <c r="F139" t="s">
        <v>278</v>
      </c>
    </row>
    <row r="140" spans="1:6" x14ac:dyDescent="0.3">
      <c r="A140" t="s">
        <v>28</v>
      </c>
      <c r="B140" t="s">
        <v>29</v>
      </c>
      <c r="C140">
        <v>20</v>
      </c>
      <c r="D140">
        <v>20</v>
      </c>
      <c r="E140">
        <v>25</v>
      </c>
      <c r="F140" t="s">
        <v>30</v>
      </c>
    </row>
    <row r="141" spans="1:6" x14ac:dyDescent="0.3">
      <c r="A141" t="s">
        <v>280</v>
      </c>
      <c r="B141" t="s">
        <v>29</v>
      </c>
      <c r="C141">
        <v>2</v>
      </c>
      <c r="D141">
        <v>3</v>
      </c>
      <c r="E141">
        <v>2</v>
      </c>
      <c r="F141" t="s">
        <v>281</v>
      </c>
    </row>
    <row r="142" spans="1:6" x14ac:dyDescent="0.3">
      <c r="A142" t="s">
        <v>31</v>
      </c>
      <c r="B142" t="s">
        <v>18</v>
      </c>
      <c r="C142">
        <v>0.08</v>
      </c>
      <c r="D142">
        <v>0.1</v>
      </c>
      <c r="E142">
        <v>7.0000000000000007E-2</v>
      </c>
      <c r="F142" t="s">
        <v>30</v>
      </c>
    </row>
    <row r="143" spans="1:6" x14ac:dyDescent="0.3">
      <c r="A143" t="s">
        <v>32</v>
      </c>
      <c r="B143" t="s">
        <v>12</v>
      </c>
      <c r="C143">
        <v>7.5</v>
      </c>
      <c r="D143">
        <v>3.46</v>
      </c>
      <c r="E143">
        <v>14.7</v>
      </c>
      <c r="F143" t="s">
        <v>33</v>
      </c>
    </row>
    <row r="144" spans="1:6" x14ac:dyDescent="0.3">
      <c r="A144" t="s">
        <v>282</v>
      </c>
      <c r="B144" t="s">
        <v>283</v>
      </c>
      <c r="C144">
        <v>0.59</v>
      </c>
      <c r="D144">
        <v>0.36</v>
      </c>
      <c r="E144">
        <v>0.75</v>
      </c>
      <c r="F144" t="s">
        <v>284</v>
      </c>
    </row>
    <row r="145" spans="1:6" x14ac:dyDescent="0.3">
      <c r="A145" t="s">
        <v>34</v>
      </c>
      <c r="B145" t="s">
        <v>35</v>
      </c>
      <c r="C145">
        <v>0.3</v>
      </c>
      <c r="D145">
        <v>0.1</v>
      </c>
      <c r="E145">
        <v>0.5</v>
      </c>
      <c r="F145" t="s">
        <v>33</v>
      </c>
    </row>
    <row r="146" spans="1:6" x14ac:dyDescent="0.3">
      <c r="A146" t="s">
        <v>36</v>
      </c>
      <c r="B146" t="s">
        <v>35</v>
      </c>
      <c r="C146">
        <v>0.3</v>
      </c>
      <c r="D146">
        <v>0.5</v>
      </c>
      <c r="E146">
        <v>0.1</v>
      </c>
      <c r="F146" t="s">
        <v>33</v>
      </c>
    </row>
    <row r="147" spans="1:6" x14ac:dyDescent="0.3">
      <c r="A147" t="s">
        <v>37</v>
      </c>
      <c r="B147" t="s">
        <v>38</v>
      </c>
      <c r="C147" s="5">
        <v>10000</v>
      </c>
      <c r="D147" s="5">
        <v>1862</v>
      </c>
      <c r="E147" s="5">
        <v>20000</v>
      </c>
      <c r="F147" t="s">
        <v>39</v>
      </c>
    </row>
    <row r="148" spans="1:6" x14ac:dyDescent="0.3">
      <c r="A148" t="s">
        <v>40</v>
      </c>
      <c r="B148" t="s">
        <v>35</v>
      </c>
      <c r="C148">
        <v>0.5</v>
      </c>
      <c r="D148">
        <v>0.3</v>
      </c>
      <c r="E148">
        <v>0.7</v>
      </c>
      <c r="F148" t="s">
        <v>33</v>
      </c>
    </row>
    <row r="149" spans="1:6" x14ac:dyDescent="0.3">
      <c r="A149" t="s">
        <v>41</v>
      </c>
      <c r="B149" t="s">
        <v>42</v>
      </c>
      <c r="C149">
        <v>6.5421000000000007E-2</v>
      </c>
      <c r="D149">
        <v>0</v>
      </c>
      <c r="E149">
        <v>9.0909000000000004E-2</v>
      </c>
      <c r="F149" t="s">
        <v>43</v>
      </c>
    </row>
    <row r="150" spans="1:6" x14ac:dyDescent="0.3">
      <c r="A150" t="s">
        <v>285</v>
      </c>
      <c r="B150" t="s">
        <v>286</v>
      </c>
      <c r="C150">
        <v>0.93830000000000002</v>
      </c>
      <c r="D150">
        <v>1.2145999999999999</v>
      </c>
      <c r="E150">
        <v>0.7</v>
      </c>
      <c r="F150" t="s">
        <v>266</v>
      </c>
    </row>
    <row r="151" spans="1:6" x14ac:dyDescent="0.3">
      <c r="A151" t="s">
        <v>287</v>
      </c>
      <c r="B151" t="s">
        <v>288</v>
      </c>
      <c r="C151" s="5">
        <v>2877</v>
      </c>
      <c r="D151" s="5">
        <v>2158</v>
      </c>
      <c r="E151" s="5">
        <v>4038</v>
      </c>
      <c r="F151" t="s">
        <v>289</v>
      </c>
    </row>
    <row r="152" spans="1:6" x14ac:dyDescent="0.3">
      <c r="A152" t="s">
        <v>290</v>
      </c>
      <c r="B152" t="s">
        <v>291</v>
      </c>
      <c r="C152">
        <v>10.66</v>
      </c>
      <c r="D152">
        <v>12</v>
      </c>
      <c r="E152">
        <v>5</v>
      </c>
      <c r="F152" t="s">
        <v>33</v>
      </c>
    </row>
    <row r="153" spans="1:6" x14ac:dyDescent="0.3">
      <c r="A153" t="s">
        <v>292</v>
      </c>
      <c r="B153" t="s">
        <v>293</v>
      </c>
      <c r="C153">
        <v>2</v>
      </c>
      <c r="D153">
        <v>1.5</v>
      </c>
      <c r="E153">
        <v>2.5</v>
      </c>
      <c r="F153" t="s">
        <v>33</v>
      </c>
    </row>
    <row r="154" spans="1:6" x14ac:dyDescent="0.3">
      <c r="A154" t="s">
        <v>294</v>
      </c>
      <c r="B154" t="s">
        <v>295</v>
      </c>
      <c r="C154">
        <v>2</v>
      </c>
      <c r="D154">
        <v>2</v>
      </c>
      <c r="E154">
        <v>1</v>
      </c>
      <c r="F154" t="s">
        <v>33</v>
      </c>
    </row>
    <row r="155" spans="1:6" x14ac:dyDescent="0.3">
      <c r="A155" t="s">
        <v>296</v>
      </c>
      <c r="B155" t="s">
        <v>56</v>
      </c>
      <c r="C155" s="5">
        <v>370210</v>
      </c>
      <c r="D155" s="5">
        <v>1000000</v>
      </c>
      <c r="E155" s="5">
        <v>100000</v>
      </c>
      <c r="F155" t="s">
        <v>297</v>
      </c>
    </row>
    <row r="156" spans="1:6" x14ac:dyDescent="0.3">
      <c r="A156" t="s">
        <v>298</v>
      </c>
      <c r="B156" t="s">
        <v>56</v>
      </c>
      <c r="C156">
        <v>0</v>
      </c>
      <c r="D156">
        <v>0</v>
      </c>
      <c r="E156" s="5">
        <v>3700000</v>
      </c>
      <c r="F156" t="s">
        <v>33</v>
      </c>
    </row>
    <row r="157" spans="1:6" x14ac:dyDescent="0.3">
      <c r="A157" t="s">
        <v>299</v>
      </c>
      <c r="B157" t="s">
        <v>45</v>
      </c>
      <c r="C157">
        <v>0.5</v>
      </c>
      <c r="D157">
        <v>1</v>
      </c>
      <c r="E157">
        <v>0</v>
      </c>
      <c r="F157" t="s">
        <v>33</v>
      </c>
    </row>
    <row r="158" spans="1:6" x14ac:dyDescent="0.3">
      <c r="A158" t="s">
        <v>300</v>
      </c>
      <c r="B158" t="s">
        <v>71</v>
      </c>
      <c r="C158" s="5">
        <v>31581</v>
      </c>
      <c r="D158" s="5">
        <v>31581</v>
      </c>
      <c r="E158" s="5">
        <v>31581</v>
      </c>
      <c r="F158" t="s">
        <v>79</v>
      </c>
    </row>
    <row r="159" spans="1:6" x14ac:dyDescent="0.3">
      <c r="A159" t="s">
        <v>301</v>
      </c>
      <c r="B159" t="s">
        <v>35</v>
      </c>
      <c r="C159">
        <v>0.80420000000000003</v>
      </c>
      <c r="D159">
        <v>0.80420000000000003</v>
      </c>
      <c r="E159">
        <v>0.80420000000000003</v>
      </c>
      <c r="F159" t="s">
        <v>302</v>
      </c>
    </row>
    <row r="160" spans="1:6" x14ac:dyDescent="0.3">
      <c r="A160" t="s">
        <v>303</v>
      </c>
      <c r="B160" t="s">
        <v>35</v>
      </c>
      <c r="C160">
        <v>0.85</v>
      </c>
      <c r="D160">
        <v>0.80420000000000003</v>
      </c>
      <c r="E160">
        <v>0.9</v>
      </c>
      <c r="F160" t="s">
        <v>33</v>
      </c>
    </row>
    <row r="162" spans="1:6" x14ac:dyDescent="0.3">
      <c r="A162" s="1" t="s">
        <v>304</v>
      </c>
    </row>
    <row r="163" spans="1:6" x14ac:dyDescent="0.3">
      <c r="A163" t="s">
        <v>305</v>
      </c>
      <c r="B163" t="s">
        <v>6</v>
      </c>
      <c r="C163">
        <f>C2</f>
        <v>200</v>
      </c>
      <c r="F163" t="s">
        <v>306</v>
      </c>
    </row>
    <row r="164" spans="1:6" x14ac:dyDescent="0.3">
      <c r="A164" t="s">
        <v>307</v>
      </c>
      <c r="B164" t="s">
        <v>35</v>
      </c>
      <c r="C164">
        <v>0</v>
      </c>
      <c r="F164" t="s">
        <v>33</v>
      </c>
    </row>
    <row r="165" spans="1:6" x14ac:dyDescent="0.3">
      <c r="A165" t="s">
        <v>308</v>
      </c>
      <c r="B165" t="s">
        <v>309</v>
      </c>
      <c r="C165">
        <f>C133/C134</f>
        <v>7.9093281148075664E-2</v>
      </c>
      <c r="F165" t="s">
        <v>266</v>
      </c>
    </row>
    <row r="166" spans="1:6" x14ac:dyDescent="0.3">
      <c r="A166" t="s">
        <v>310</v>
      </c>
      <c r="B166" t="s">
        <v>26</v>
      </c>
      <c r="C166">
        <f>C106</f>
        <v>0.2</v>
      </c>
      <c r="F166" t="s">
        <v>222</v>
      </c>
    </row>
    <row r="167" spans="1:6" x14ac:dyDescent="0.3">
      <c r="A167" t="s">
        <v>311</v>
      </c>
      <c r="B167" t="s">
        <v>29</v>
      </c>
      <c r="C167">
        <f>C126</f>
        <v>20</v>
      </c>
      <c r="F16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7"/>
  <sheetViews>
    <sheetView workbookViewId="0">
      <pane ySplit="4" topLeftCell="A5" activePane="bottomLeft" state="frozen"/>
      <selection pane="bottomLeft"/>
    </sheetView>
  </sheetViews>
  <sheetFormatPr defaultRowHeight="14" x14ac:dyDescent="0.3"/>
  <cols>
    <col min="1" max="1" width="52" customWidth="1"/>
    <col min="2" max="2" width="16" customWidth="1"/>
    <col min="3" max="3" width="18" customWidth="1"/>
    <col min="4" max="5" width="14" customWidth="1"/>
    <col min="6" max="6" width="16" customWidth="1"/>
    <col min="7" max="8" width="18" customWidth="1"/>
    <col min="9" max="9" width="14" customWidth="1"/>
    <col min="10" max="10" width="16" customWidth="1"/>
    <col min="11" max="11" width="18" customWidth="1"/>
    <col min="12" max="15" width="16" customWidth="1"/>
    <col min="16" max="16" width="12" customWidth="1"/>
    <col min="17" max="18" width="16" customWidth="1"/>
    <col min="19" max="19" width="18" customWidth="1"/>
    <col min="21" max="22" width="18.6328125" customWidth="1"/>
  </cols>
  <sheetData>
    <row r="1" spans="1:1" ht="15" x14ac:dyDescent="0.3">
      <c r="A1" s="2" t="s">
        <v>312</v>
      </c>
    </row>
    <row r="4" spans="1:2" x14ac:dyDescent="0.3">
      <c r="A4" t="s">
        <v>0</v>
      </c>
      <c r="B4" t="s">
        <v>313</v>
      </c>
    </row>
    <row r="5" spans="1:2" x14ac:dyDescent="0.3">
      <c r="A5" t="s">
        <v>314</v>
      </c>
      <c r="B5" s="6">
        <f>Inputs!$C$132/Inputs!$C$83</f>
        <v>0.7712215320910973</v>
      </c>
    </row>
    <row r="6" spans="1:2" x14ac:dyDescent="0.3">
      <c r="A6" t="s">
        <v>315</v>
      </c>
      <c r="B6">
        <f>Inputs!$C$142</f>
        <v>0.08</v>
      </c>
    </row>
    <row r="7" spans="1:2" x14ac:dyDescent="0.3">
      <c r="A7" t="s">
        <v>316</v>
      </c>
      <c r="B7">
        <f>Inputs!$C$140</f>
        <v>20.0</v>
      </c>
    </row>
    <row r="8" spans="1:2" x14ac:dyDescent="0.3">
      <c r="A8" t="s">
        <v>280</v>
      </c>
      <c r="B8">
        <f>Inputs!$C$141</f>
        <v>2.0</v>
      </c>
    </row>
    <row r="9" spans="1:2" x14ac:dyDescent="0.3">
      <c r="A9" t="s">
        <v>317</v>
      </c>
      <c r="B9">
        <f>Inputs!$C$163</f>
        <v>200.0</v>
      </c>
    </row>
    <row r="10" spans="1:2" x14ac:dyDescent="0.3">
      <c r="A10" t="s">
        <v>318</v>
      </c>
      <c r="B10">
        <f>Inputs!$C$143</f>
        <v>7.5</v>
      </c>
    </row>
    <row r="11" spans="1:2" x14ac:dyDescent="0.3">
      <c r="A11" t="s">
        <v>319</v>
      </c>
      <c r="B11">
        <f>Inputs!$C$144</f>
        <v>0.59</v>
      </c>
    </row>
    <row r="12" spans="1:2" x14ac:dyDescent="0.3">
      <c r="A12" t="s">
        <v>320</v>
      </c>
      <c r="B12">
        <f>MIN(Inputs!$C$25/Inputs!$C$154,Inputs!$C$158*365*Inputs!$C$153/Inputs!$C$152)/1000000</f>
        <v>1.85</v>
      </c>
    </row>
    <row r="13" spans="1:2" x14ac:dyDescent="0.3">
      <c r="A13" t="s">
        <v>321</v>
      </c>
      <c r="B13">
        <f>Inputs!$C$151</f>
        <v>2877.0</v>
      </c>
    </row>
    <row r="14" spans="1:2" x14ac:dyDescent="0.3">
      <c r="A14" t="s">
        <v>322</v>
      </c>
      <c r="B14">
        <f>B10-MAX(B10*B11-B12,0)</f>
        <v>4.925000000000001</v>
      </c>
    </row>
    <row r="15" spans="1:2" x14ac:dyDescent="0.3">
      <c r="A15" t="s">
        <v>323</v>
      </c>
      <c r="B15">
        <f>B14*(B13+B19*Inputs!$D$147)/1000</f>
        <v>23.339575000000004</v>
      </c>
    </row>
    <row r="16" spans="1:2" x14ac:dyDescent="0.3">
      <c r="A16" t="s">
        <v>307</v>
      </c>
      <c r="B16">
        <f>Inputs!$C$164</f>
        <v>0.0</v>
      </c>
    </row>
    <row r="17" spans="1:2" x14ac:dyDescent="0.3">
      <c r="A17" t="s">
        <v>310</v>
      </c>
      <c r="B17">
        <f>Inputs!$C$166</f>
        <v>0.2</v>
      </c>
    </row>
    <row r="18" spans="1:2" x14ac:dyDescent="0.3">
      <c r="A18" t="s">
        <v>311</v>
      </c>
      <c r="B18">
        <f>Inputs!$C$167</f>
        <v>20.0</v>
      </c>
    </row>
    <row r="19" spans="1:2" x14ac:dyDescent="0.3">
      <c r="A19" t="s">
        <v>324</v>
      </c>
      <c r="B19">
        <v>1</v>
      </c>
    </row>
    <row r="20" spans="1:2" x14ac:dyDescent="0.3">
      <c r="A20" t="s">
        <v>325</v>
      </c>
      <c r="B20" t="s">
        <v>313</v>
      </c>
    </row>
    <row r="21" spans="1:2" x14ac:dyDescent="0.3">
      <c r="A21" t="s">
        <v>326</v>
      </c>
      <c r="B21" s="7">
        <f>SUM(K41:K85)</f>
        <v>-144.05101535660108</v>
      </c>
    </row>
    <row r="22" spans="1:2" x14ac:dyDescent="0.3">
      <c r="A22" t="s">
        <v>327</v>
      </c>
      <c r="B22" s="7">
        <f>IF($B$18&lt;$B$7,"n/a",SUM(R41:R85))</f>
        <v>-144.05101535660108</v>
      </c>
    </row>
    <row r="23" spans="1:2" x14ac:dyDescent="0.3">
      <c r="A23" t="s">
        <v>328</v>
      </c>
      <c r="B23" s="8">
        <f>IF($B$18&lt;$B$7,"n/a",IRR(Q41:Q85,-0.1))</f>
        <v>-0.05150943962837129</v>
      </c>
    </row>
    <row r="24" spans="1:2" x14ac:dyDescent="0.3">
      <c r="A24" t="s">
        <v>329</v>
      </c>
      <c r="B24" s="7">
        <f>B15*(1-B5)*B27/(B16*B27+B28/B9)</f>
        <v>50.40856097583733</v>
      </c>
    </row>
    <row r="25" spans="1:2" x14ac:dyDescent="0.3">
      <c r="A25" t="s">
        <v>330</v>
      </c>
      <c r="B25" s="7">
        <f>B10-B21/((1-B5)*(B13+B19*Inputs!$D$147)/1000*(1-B11)*B27)</f>
        <v>43.14715039163766</v>
      </c>
    </row>
    <row r="27" spans="1:2" x14ac:dyDescent="0.3">
      <c r="A27" t="s">
        <v>331</v>
      </c>
      <c r="B27">
        <f>SUMPRODUCT(B41:B85,D41:D85)</f>
        <v>9.090877229119709</v>
      </c>
    </row>
    <row r="28" spans="1:2" x14ac:dyDescent="0.3">
      <c r="A28" t="s">
        <v>332</v>
      </c>
      <c r="B28" s="7">
        <f>SUMPRODUCT(E41:E85,B41:B85)</f>
        <v>192.59259259259258</v>
      </c>
    </row>
    <row spans="1:2" x14ac:dyDescent="0.3" r="31">
      <c r="A31" t="inlineStr">
        <is>
          <t>Ledger covers the operating life</t>
        </is>
      </c>
      <c r="B31" t="str">
        <f>IF($B$8+$B$7-1&lt;=MAX($A$41:$A$85),"Yes","No")</f>
        <v>Yes</v>
      </c>
    </row>
    <row r="32" spans="1:2" x14ac:dyDescent="0.3">
      <c r="A32" t="s">
        <v>333</v>
      </c>
      <c r="B32" t="str">
        <f>IF(B18&lt;B7,"No","Yes")</f>
        <v>Yes</v>
      </c>
    </row>
    <row r="33" spans="1:2" x14ac:dyDescent="0.3">
      <c r="A33" t="s">
        <v>433</v>
      </c>
      <c r="B33" s="9">
        <f>SUM(J41:J85)</f>
        <v>-93.20815579710143</v>
      </c>
    </row>
    <row r="34" spans="1:2" x14ac:dyDescent="0.3">
      <c r="A34" t="s">
        <v>434</v>
      </c>
      <c r="B34" s="10">
        <f>IF(B15*(1-B5)-B16*B9&lt;=0,"never",B9/(B15*(1-B5)-B16*B9))</f>
        <v>37.45604385668462</v>
      </c>
    </row>
    <row r="35" spans="1:2" x14ac:dyDescent="0.3">
      <c r="A35" t="s">
        <v>435</v>
      </c>
      <c r="B35" s="10">
        <f>IF(ISNUMBER(B34),B8+B34,"never")</f>
        <v>39.45604385668462</v>
      </c>
    </row>
    <row r="36" spans="1:2" x14ac:dyDescent="0.3">
      <c r="A36" t="s">
        <v>436</v>
      </c>
      <c r="B36" s="11" t="str">
        <f>IF(ISNUMBER(B34),IF(B34&lt;=B7,"Yes","No"),"No")</f>
        <v>No</v>
      </c>
    </row>
    <row r="37" spans="1:2" x14ac:dyDescent="0.3">
      <c r="A37" t="s">
        <v>437</v>
      </c>
      <c r="B37" s="10" t="str">
        <f>IF(B15*(1-B5)-B16*B9&lt;=0,"never",IF(B28*B6*(1+B6)^(B8-1)/(B15*(1-B5)-B16*B9)&gt;=1,"never",B8-LN(1-B28*B6*(1+B6)^(B8-1)/(B15*(1-B5)-B16*B9))/LN(1+B6)))</f>
        <v>never</v>
      </c>
    </row>
    <row r="39" spans="1:1" x14ac:dyDescent="0.3">
      <c r="A39" s="1" t="s">
        <v>334</v>
      </c>
    </row>
    <row r="40" spans="1:22" ht="28" x14ac:dyDescent="0.3">
      <c r="A40" s="3" t="s">
        <v>335</v>
      </c>
      <c r="B40" s="3" t="s">
        <v>336</v>
      </c>
      <c r="C40" s="3" t="s">
        <v>337</v>
      </c>
      <c r="D40" s="3" t="s">
        <v>338</v>
      </c>
      <c r="E40" s="3" t="s">
        <v>339</v>
      </c>
      <c r="F40" s="3" t="s">
        <v>340</v>
      </c>
      <c r="G40" s="3" t="s">
        <v>341</v>
      </c>
      <c r="H40" s="3" t="s">
        <v>342</v>
      </c>
      <c r="I40" s="3" t="s">
        <v>343</v>
      </c>
      <c r="J40" s="3" t="s">
        <v>344</v>
      </c>
      <c r="K40" s="3" t="s">
        <v>345</v>
      </c>
      <c r="L40" s="3" t="s">
        <v>346</v>
      </c>
      <c r="M40" s="3" t="s">
        <v>347</v>
      </c>
      <c r="N40" s="3" t="s">
        <v>348</v>
      </c>
      <c r="O40" s="3" t="s">
        <v>349</v>
      </c>
      <c r="P40" s="3" t="s">
        <v>350</v>
      </c>
      <c r="Q40" s="3" t="s">
        <v>351</v>
      </c>
      <c r="R40" s="3" t="s">
        <v>352</v>
      </c>
      <c r="S40" s="3" t="s">
        <v>353</v>
      </c>
      <c r="U40" s="4" t="s">
        <v>431</v>
      </c>
      <c r="V40" s="4" t="s">
        <v>432</v>
      </c>
    </row>
    <row r="41" spans="1:22" x14ac:dyDescent="0.3">
      <c r="A41">
        <v>0</v>
      </c>
      <c r="B41" s="6">
        <f>1/(1+$B$6)^A41</f>
        <v>1.0</v>
      </c>
      <c r="C41">
        <f>IF(A41&lt;$B$8,1,0)</f>
        <v>1.0</v>
      </c>
      <c r="D41">
        <f>IF(AND(A41&gt;=$B$8,A41&lt;$B$8+$B$7),1,0)</f>
        <v>0.0</v>
      </c>
      <c r="E41" s="7">
        <f>C41*$B$9/$B$8</f>
        <v>100.0</v>
      </c>
      <c r="F41" s="12">
        <f>D41*$B$14</f>
        <v>0.0</v>
      </c>
      <c r="G41" s="7">
        <f>F41*($B$13+$B$19*Inputs!$D$147)/1000</f>
        <v>0.0</v>
      </c>
      <c r="H41" s="7">
        <f>$B$5*G41</f>
        <v>0.0</v>
      </c>
      <c r="I41" s="7">
        <f>D41*$B$16*$B$9</f>
        <v>0.0</v>
      </c>
      <c r="J41" s="7">
        <f>G41-H41-E41-I41</f>
        <v>-100.0</v>
      </c>
      <c r="K41" s="7">
        <f>J41*B41</f>
        <v>-100.0</v>
      </c>
      <c r="L41" s="7">
        <f>IF(AND(A41&gt;=$B$8,A41&lt;$B$8+$B$18),$B$9/$B$18,0)</f>
        <v>0.0</v>
      </c>
      <c r="M41" s="7">
        <f>G41-H41-L41</f>
        <v>0.0</v>
      </c>
      <c r="N41" s="7">
        <f>SUM($M$41:M41)</f>
        <v>0.0</v>
      </c>
      <c r="O41" s="7">
        <f>$B$17*MAX(0,N41)</f>
        <v>0.0</v>
      </c>
      <c r="P41" s="7">
        <f>MAX(0,O41)</f>
        <v>0.0</v>
      </c>
      <c r="Q41" s="7">
        <f>J41-P41</f>
        <v>-100.0</v>
      </c>
      <c r="R41" s="7">
        <f>Q41*B41</f>
        <v>-100.0</v>
      </c>
      <c r="S41" s="7">
        <f>SUM($Q$41:Q41)</f>
        <v>-100.0</v>
      </c>
      <c r="U41" s="7">
        <f>IF(J41&lt;0,-J41,NA())</f>
        <v>100.0</v>
      </c>
      <c r="V41" s="7" t="e">
        <f>IF(J41&gt;0,J41,NA())</f>
        <v>#N/A</v>
      </c>
    </row>
    <row r="42" spans="1:22" x14ac:dyDescent="0.3">
      <c r="A42">
        <v>1</v>
      </c>
      <c r="B42" s="6">
        <f>1/(1+$B$6)^A42</f>
        <v>0.9259259259259258</v>
      </c>
      <c r="C42">
        <f>IF(A42&lt;$B$8,1,0)</f>
        <v>1.0</v>
      </c>
      <c r="D42">
        <f>IF(AND(A42&gt;=$B$8,A42&lt;$B$8+$B$7),1,0)</f>
        <v>0.0</v>
      </c>
      <c r="E42" s="7">
        <f>C42*$B$9/$B$8</f>
        <v>100.0</v>
      </c>
      <c r="F42" s="12">
        <f>D42*$B$14</f>
        <v>0.0</v>
      </c>
      <c r="G42" s="7">
        <f>F42*($B$13+$B$19*Inputs!$D$147)/1000</f>
        <v>0.0</v>
      </c>
      <c r="H42" s="7">
        <f>$B$5*G42</f>
        <v>0.0</v>
      </c>
      <c r="I42" s="7">
        <f>D42*$B$16*$B$9</f>
        <v>0.0</v>
      </c>
      <c r="J42" s="7">
        <f>G42-H42-E42-I42</f>
        <v>-100.0</v>
      </c>
      <c r="K42" s="7">
        <f>J42*B42</f>
        <v>-92.59259259259258</v>
      </c>
      <c r="L42" s="7">
        <f>IF(AND(A42&gt;=$B$8,A42&lt;$B$8+$B$18),$B$9/$B$18,0)</f>
        <v>0.0</v>
      </c>
      <c r="M42" s="7">
        <f>G42-H42-L42</f>
        <v>0.0</v>
      </c>
      <c r="N42" s="7">
        <f>SUM($M$41:M42)</f>
        <v>0.0</v>
      </c>
      <c r="O42" s="7">
        <f>$B$17*MAX(0,N42)</f>
        <v>0.0</v>
      </c>
      <c r="P42" s="7">
        <f>MAX(0,O42-O41)</f>
        <v>0.0</v>
      </c>
      <c r="Q42" s="7">
        <f>J42-P42</f>
        <v>-100.0</v>
      </c>
      <c r="R42" s="7">
        <f>Q42*B42</f>
        <v>-92.59259259259258</v>
      </c>
      <c r="S42" s="7">
        <f>SUM($Q$41:Q42)</f>
        <v>-200.0</v>
      </c>
      <c r="U42" s="7">
        <f>IF(J42&lt;0,-J42,NA())</f>
        <v>100.0</v>
      </c>
      <c r="V42" s="7" t="e">
        <f>IF(J42&gt;0,J42,NA())</f>
        <v>#N/A</v>
      </c>
    </row>
    <row r="43" spans="1:22" x14ac:dyDescent="0.3">
      <c r="A43">
        <v>2</v>
      </c>
      <c r="B43" s="6">
        <f>1/(1+$B$6)^A43</f>
        <v>0.8573388203017832</v>
      </c>
      <c r="C43">
        <f>IF(A43&lt;$B$8,1,0)</f>
        <v>0.0</v>
      </c>
      <c r="D43">
        <f>IF(AND(A43&gt;=$B$8,A43&lt;$B$8+$B$7),1,0)</f>
        <v>1.0</v>
      </c>
      <c r="E43" s="7">
        <f>C43*$B$9/$B$8</f>
        <v>0.0</v>
      </c>
      <c r="F43" s="12">
        <f>D43*$B$14</f>
        <v>4.925000000000001</v>
      </c>
      <c r="G43" s="7">
        <f>F43*($B$13+$B$19*Inputs!$D$147)/1000</f>
        <v>23.339575000000004</v>
      </c>
      <c r="H43" s="7">
        <f>$B$5*G43</f>
        <v>17.999982789855075</v>
      </c>
      <c r="I43" s="7">
        <f>D43*$B$16*$B$9</f>
        <v>0.0</v>
      </c>
      <c r="J43" s="7">
        <f>G43-H43-E43-I43</f>
        <v>5.339592210144929</v>
      </c>
      <c r="K43" s="7">
        <f>J43*B43</f>
        <v>4.577839686338245</v>
      </c>
      <c r="L43" s="7">
        <f>IF(AND(A43&gt;=$B$8,A43&lt;$B$8+$B$18),$B$9/$B$18,0)</f>
        <v>10.0</v>
      </c>
      <c r="M43" s="7">
        <f>G43-H43-L43</f>
        <v>-4.660407789855071</v>
      </c>
      <c r="N43" s="7">
        <f>SUM($M$41:M43)</f>
        <v>-4.660407789855071</v>
      </c>
      <c r="O43" s="7">
        <f>$B$17*MAX(0,N43)</f>
        <v>0.0</v>
      </c>
      <c r="P43" s="7">
        <f>MAX(0,O43-O42)</f>
        <v>0.0</v>
      </c>
      <c r="Q43" s="7">
        <f>J43-P43</f>
        <v>5.339592210144929</v>
      </c>
      <c r="R43" s="7">
        <f>Q43*B43</f>
        <v>4.577839686338245</v>
      </c>
      <c r="S43" s="7">
        <f>SUM($Q$41:Q43)</f>
        <v>-194.66040778985507</v>
      </c>
      <c r="U43" s="7" t="e">
        <f>IF(J43&lt;0,-J43,NA())</f>
        <v>#N/A</v>
      </c>
      <c r="V43" s="7">
        <f>IF(J43&gt;0,J43,NA())</f>
        <v>5.339592210144929</v>
      </c>
    </row>
    <row r="44" spans="1:22" x14ac:dyDescent="0.3">
      <c r="A44">
        <v>3</v>
      </c>
      <c r="B44" s="6">
        <f>1/(1+$B$6)^A44</f>
        <v>0.7938322410201696</v>
      </c>
      <c r="C44">
        <f>IF(A44&lt;$B$8,1,0)</f>
        <v>0.0</v>
      </c>
      <c r="D44">
        <f>IF(AND(A44&gt;=$B$8,A44&lt;$B$8+$B$7),1,0)</f>
        <v>1.0</v>
      </c>
      <c r="E44" s="7">
        <f>C44*$B$9/$B$8</f>
        <v>0.0</v>
      </c>
      <c r="F44" s="12">
        <f>D44*$B$14</f>
        <v>4.925000000000001</v>
      </c>
      <c r="G44" s="7">
        <f>F44*($B$13+$B$19*Inputs!$D$147)/1000</f>
        <v>23.339575000000004</v>
      </c>
      <c r="H44" s="7">
        <f>$B$5*G44</f>
        <v>17.999982789855075</v>
      </c>
      <c r="I44" s="7">
        <f>D44*$B$16*$B$9</f>
        <v>0.0</v>
      </c>
      <c r="J44" s="7">
        <f>G44-H44-E44-I44</f>
        <v>5.339592210144929</v>
      </c>
      <c r="K44" s="7">
        <f>J44*B44</f>
        <v>4.238740450313189</v>
      </c>
      <c r="L44" s="7">
        <f>IF(AND(A44&gt;=$B$8,A44&lt;$B$8+$B$18),$B$9/$B$18,0)</f>
        <v>10.0</v>
      </c>
      <c r="M44" s="7">
        <f>G44-H44-L44</f>
        <v>-4.660407789855071</v>
      </c>
      <c r="N44" s="7">
        <f>SUM($M$41:M44)</f>
        <v>-9.320815579710143</v>
      </c>
      <c r="O44" s="7">
        <f>$B$17*MAX(0,N44)</f>
        <v>0.0</v>
      </c>
      <c r="P44" s="7">
        <f>MAX(0,O44-O43)</f>
        <v>0.0</v>
      </c>
      <c r="Q44" s="7">
        <f>J44-P44</f>
        <v>5.339592210144929</v>
      </c>
      <c r="R44" s="7">
        <f>Q44*B44</f>
        <v>4.238740450313189</v>
      </c>
      <c r="S44" s="7">
        <f>SUM($Q$41:Q44)</f>
        <v>-189.32081557971014</v>
      </c>
      <c r="U44" s="7" t="e">
        <f>IF(J44&lt;0,-J44,NA())</f>
        <v>#N/A</v>
      </c>
      <c r="V44" s="7">
        <f>IF(J44&gt;0,J44,NA())</f>
        <v>5.339592210144929</v>
      </c>
    </row>
    <row r="45" spans="1:22" x14ac:dyDescent="0.3">
      <c r="A45">
        <v>4</v>
      </c>
      <c r="B45" s="6">
        <f>1/(1+$B$6)^A45</f>
        <v>0.7350298527964533</v>
      </c>
      <c r="C45">
        <f>IF(A45&lt;$B$8,1,0)</f>
        <v>0.0</v>
      </c>
      <c r="D45">
        <f>IF(AND(A45&gt;=$B$8,A45&lt;$B$8+$B$7),1,0)</f>
        <v>1.0</v>
      </c>
      <c r="E45" s="7">
        <f>C45*$B$9/$B$8</f>
        <v>0.0</v>
      </c>
      <c r="F45" s="12">
        <f>D45*$B$14</f>
        <v>4.925000000000001</v>
      </c>
      <c r="G45" s="7">
        <f>F45*($B$13+$B$19*Inputs!$D$147)/1000</f>
        <v>23.339575000000004</v>
      </c>
      <c r="H45" s="7">
        <f>$B$5*G45</f>
        <v>17.999982789855075</v>
      </c>
      <c r="I45" s="7">
        <f>D45*$B$16*$B$9</f>
        <v>0.0</v>
      </c>
      <c r="J45" s="7">
        <f>G45-H45-E45-I45</f>
        <v>5.339592210144929</v>
      </c>
      <c r="K45" s="7">
        <f>J45*B45</f>
        <v>3.9247596762159156</v>
      </c>
      <c r="L45" s="7">
        <f>IF(AND(A45&gt;=$B$8,A45&lt;$B$8+$B$18),$B$9/$B$18,0)</f>
        <v>10.0</v>
      </c>
      <c r="M45" s="7">
        <f>G45-H45-L45</f>
        <v>-4.660407789855071</v>
      </c>
      <c r="N45" s="7">
        <f>SUM($M$41:M45)</f>
        <v>-13.981223369565214</v>
      </c>
      <c r="O45" s="7">
        <f>$B$17*MAX(0,N45)</f>
        <v>0.0</v>
      </c>
      <c r="P45" s="7">
        <f>MAX(0,O45-O44)</f>
        <v>0.0</v>
      </c>
      <c r="Q45" s="7">
        <f>J45-P45</f>
        <v>5.339592210144929</v>
      </c>
      <c r="R45" s="7">
        <f>Q45*B45</f>
        <v>3.9247596762159156</v>
      </c>
      <c r="S45" s="7">
        <f>SUM($Q$41:Q45)</f>
        <v>-183.9812233695652</v>
      </c>
      <c r="U45" s="7" t="e">
        <f>IF(J45&lt;0,-J45,NA())</f>
        <v>#N/A</v>
      </c>
      <c r="V45" s="7">
        <f>IF(J45&gt;0,J45,NA())</f>
        <v>5.339592210144929</v>
      </c>
    </row>
    <row r="46" spans="1:22" x14ac:dyDescent="0.3">
      <c r="A46">
        <v>5</v>
      </c>
      <c r="B46" s="6">
        <f>1/(1+$B$6)^A46</f>
        <v>0.6805831970337529</v>
      </c>
      <c r="C46">
        <f>IF(A46&lt;$B$8,1,0)</f>
        <v>0.0</v>
      </c>
      <c r="D46">
        <f>IF(AND(A46&gt;=$B$8,A46&lt;$B$8+$B$7),1,0)</f>
        <v>1.0</v>
      </c>
      <c r="E46" s="7">
        <f>C46*$B$9/$B$8</f>
        <v>0.0</v>
      </c>
      <c r="F46" s="12">
        <f>D46*$B$14</f>
        <v>4.925000000000001</v>
      </c>
      <c r="G46" s="7">
        <f>F46*($B$13+$B$19*Inputs!$D$147)/1000</f>
        <v>23.339575000000004</v>
      </c>
      <c r="H46" s="7">
        <f>$B$5*G46</f>
        <v>17.999982789855075</v>
      </c>
      <c r="I46" s="7">
        <f>D46*$B$16*$B$9</f>
        <v>0.0</v>
      </c>
      <c r="J46" s="7">
        <f>G46-H46-E46-I46</f>
        <v>5.339592210144929</v>
      </c>
      <c r="K46" s="7">
        <f>J46*B46</f>
        <v>3.634036737236958</v>
      </c>
      <c r="L46" s="7">
        <f>IF(AND(A46&gt;=$B$8,A46&lt;$B$8+$B$18),$B$9/$B$18,0)</f>
        <v>10.0</v>
      </c>
      <c r="M46" s="7">
        <f>G46-H46-L46</f>
        <v>-4.660407789855071</v>
      </c>
      <c r="N46" s="7">
        <f>SUM($M$41:M46)</f>
        <v>-18.641631159420285</v>
      </c>
      <c r="O46" s="7">
        <f>$B$17*MAX(0,N46)</f>
        <v>0.0</v>
      </c>
      <c r="P46" s="7">
        <f>MAX(0,O46-O45)</f>
        <v>0.0</v>
      </c>
      <c r="Q46" s="7">
        <f>J46-P46</f>
        <v>5.339592210144929</v>
      </c>
      <c r="R46" s="7">
        <f>Q46*B46</f>
        <v>3.634036737236958</v>
      </c>
      <c r="S46" s="7">
        <f>SUM($Q$41:Q46)</f>
        <v>-178.64163115942029</v>
      </c>
      <c r="U46" s="7" t="e">
        <f>IF(J46&lt;0,-J46,NA())</f>
        <v>#N/A</v>
      </c>
      <c r="V46" s="7">
        <f>IF(J46&gt;0,J46,NA())</f>
        <v>5.339592210144929</v>
      </c>
    </row>
    <row r="47" spans="1:22" x14ac:dyDescent="0.3">
      <c r="A47">
        <v>6</v>
      </c>
      <c r="B47" s="6">
        <f>1/(1+$B$6)^A47</f>
        <v>0.6301696268831045</v>
      </c>
      <c r="C47">
        <f>IF(A47&lt;$B$8,1,0)</f>
        <v>0.0</v>
      </c>
      <c r="D47">
        <f>IF(AND(A47&gt;=$B$8,A47&lt;$B$8+$B$7),1,0)</f>
        <v>1.0</v>
      </c>
      <c r="E47" s="7">
        <f>C47*$B$9/$B$8</f>
        <v>0.0</v>
      </c>
      <c r="F47" s="12">
        <f>D47*$B$14</f>
        <v>4.925000000000001</v>
      </c>
      <c r="G47" s="7">
        <f>F47*($B$13+$B$19*Inputs!$D$147)/1000</f>
        <v>23.339575000000004</v>
      </c>
      <c r="H47" s="7">
        <f>$B$5*G47</f>
        <v>17.999982789855075</v>
      </c>
      <c r="I47" s="7">
        <f>D47*$B$16*$B$9</f>
        <v>0.0</v>
      </c>
      <c r="J47" s="7">
        <f>G47-H47-E47-I47</f>
        <v>5.339592210144929</v>
      </c>
      <c r="K47" s="7">
        <f>J47*B47</f>
        <v>3.364848830774961</v>
      </c>
      <c r="L47" s="7">
        <f>IF(AND(A47&gt;=$B$8,A47&lt;$B$8+$B$18),$B$9/$B$18,0)</f>
        <v>10.0</v>
      </c>
      <c r="M47" s="7">
        <f>G47-H47-L47</f>
        <v>-4.660407789855071</v>
      </c>
      <c r="N47" s="7">
        <f>SUM($M$41:M47)</f>
        <v>-23.302038949275357</v>
      </c>
      <c r="O47" s="7">
        <f>$B$17*MAX(0,N47)</f>
        <v>0.0</v>
      </c>
      <c r="P47" s="7">
        <f>MAX(0,O47-O46)</f>
        <v>0.0</v>
      </c>
      <c r="Q47" s="7">
        <f>J47-P47</f>
        <v>5.339592210144929</v>
      </c>
      <c r="R47" s="7">
        <f>Q47*B47</f>
        <v>3.364848830774961</v>
      </c>
      <c r="S47" s="7">
        <f>SUM($Q$41:Q47)</f>
        <v>-173.30203894927536</v>
      </c>
      <c r="U47" s="7" t="e">
        <f>IF(J47&lt;0,-J47,NA())</f>
        <v>#N/A</v>
      </c>
      <c r="V47" s="7">
        <f>IF(J47&gt;0,J47,NA())</f>
        <v>5.339592210144929</v>
      </c>
    </row>
    <row r="48" spans="1:22" x14ac:dyDescent="0.3">
      <c r="A48">
        <v>7</v>
      </c>
      <c r="B48" s="6">
        <f>1/(1+$B$6)^A48</f>
        <v>0.5834903952621338</v>
      </c>
      <c r="C48">
        <f>IF(A48&lt;$B$8,1,0)</f>
        <v>0.0</v>
      </c>
      <c r="D48">
        <f>IF(AND(A48&gt;=$B$8,A48&lt;$B$8+$B$7),1,0)</f>
        <v>1.0</v>
      </c>
      <c r="E48" s="7">
        <f>C48*$B$9/$B$8</f>
        <v>0.0</v>
      </c>
      <c r="F48" s="12">
        <f>D48*$B$14</f>
        <v>4.925000000000001</v>
      </c>
      <c r="G48" s="7">
        <f>F48*($B$13+$B$19*Inputs!$D$147)/1000</f>
        <v>23.339575000000004</v>
      </c>
      <c r="H48" s="7">
        <f>$B$5*G48</f>
        <v>17.999982789855075</v>
      </c>
      <c r="I48" s="7">
        <f>D48*$B$16*$B$9</f>
        <v>0.0</v>
      </c>
      <c r="J48" s="7">
        <f>G48-H48-E48-I48</f>
        <v>5.339592210144929</v>
      </c>
      <c r="K48" s="7">
        <f>J48*B48</f>
        <v>3.115600769236075</v>
      </c>
      <c r="L48" s="7">
        <f>IF(AND(A48&gt;=$B$8,A48&lt;$B$8+$B$18),$B$9/$B$18,0)</f>
        <v>10.0</v>
      </c>
      <c r="M48" s="7">
        <f>G48-H48-L48</f>
        <v>-4.660407789855071</v>
      </c>
      <c r="N48" s="7">
        <f>SUM($M$41:M48)</f>
        <v>-27.962446739130428</v>
      </c>
      <c r="O48" s="7">
        <f>$B$17*MAX(0,N48)</f>
        <v>0.0</v>
      </c>
      <c r="P48" s="7">
        <f>MAX(0,O48-O47)</f>
        <v>0.0</v>
      </c>
      <c r="Q48" s="7">
        <f>J48-P48</f>
        <v>5.339592210144929</v>
      </c>
      <c r="R48" s="7">
        <f>Q48*B48</f>
        <v>3.115600769236075</v>
      </c>
      <c r="S48" s="7">
        <f>SUM($Q$41:Q48)</f>
        <v>-167.96244673913043</v>
      </c>
      <c r="U48" s="7" t="e">
        <f>IF(J48&lt;0,-J48,NA())</f>
        <v>#N/A</v>
      </c>
      <c r="V48" s="7">
        <f>IF(J48&gt;0,J48,NA())</f>
        <v>5.339592210144929</v>
      </c>
    </row>
    <row r="49" spans="1:22" x14ac:dyDescent="0.3">
      <c r="A49">
        <v>8</v>
      </c>
      <c r="B49" s="6">
        <f>1/(1+$B$6)^A49</f>
        <v>0.5402688845019757</v>
      </c>
      <c r="C49">
        <f>IF(A49&lt;$B$8,1,0)</f>
        <v>0.0</v>
      </c>
      <c r="D49">
        <f>IF(AND(A49&gt;=$B$8,A49&lt;$B$8+$B$7),1,0)</f>
        <v>1.0</v>
      </c>
      <c r="E49" s="7">
        <f>C49*$B$9/$B$8</f>
        <v>0.0</v>
      </c>
      <c r="F49" s="12">
        <f>D49*$B$14</f>
        <v>4.925000000000001</v>
      </c>
      <c r="G49" s="7">
        <f>F49*($B$13+$B$19*Inputs!$D$147)/1000</f>
        <v>23.339575000000004</v>
      </c>
      <c r="H49" s="7">
        <f>$B$5*G49</f>
        <v>17.999982789855075</v>
      </c>
      <c r="I49" s="7">
        <f>D49*$B$16*$B$9</f>
        <v>0.0</v>
      </c>
      <c r="J49" s="7">
        <f>G49-H49-E49-I49</f>
        <v>5.339592210144929</v>
      </c>
      <c r="K49" s="7">
        <f>J49*B49</f>
        <v>2.88481552707044</v>
      </c>
      <c r="L49" s="7">
        <f>IF(AND(A49&gt;=$B$8,A49&lt;$B$8+$B$18),$B$9/$B$18,0)</f>
        <v>10.0</v>
      </c>
      <c r="M49" s="7">
        <f>G49-H49-L49</f>
        <v>-4.660407789855071</v>
      </c>
      <c r="N49" s="7">
        <f>SUM($M$41:M49)</f>
        <v>-32.6228545289855</v>
      </c>
      <c r="O49" s="7">
        <f>$B$17*MAX(0,N49)</f>
        <v>0.0</v>
      </c>
      <c r="P49" s="7">
        <f>MAX(0,O49-O48)</f>
        <v>0.0</v>
      </c>
      <c r="Q49" s="7">
        <f>J49-P49</f>
        <v>5.339592210144929</v>
      </c>
      <c r="R49" s="7">
        <f>Q49*B49</f>
        <v>2.88481552707044</v>
      </c>
      <c r="S49" s="7">
        <f>SUM($Q$41:Q49)</f>
        <v>-162.6228545289855</v>
      </c>
      <c r="U49" s="7" t="e">
        <f>IF(J49&lt;0,-J49,NA())</f>
        <v>#N/A</v>
      </c>
      <c r="V49" s="7">
        <f>IF(J49&gt;0,J49,NA())</f>
        <v>5.339592210144929</v>
      </c>
    </row>
    <row r="50" spans="1:22" x14ac:dyDescent="0.3">
      <c r="A50">
        <v>9</v>
      </c>
      <c r="B50" s="6">
        <f>1/(1+$B$6)^A50</f>
        <v>0.5002489671314589</v>
      </c>
      <c r="C50">
        <f>IF(A50&lt;$B$8,1,0)</f>
        <v>0.0</v>
      </c>
      <c r="D50">
        <f>IF(AND(A50&gt;=$B$8,A50&lt;$B$8+$B$7),1,0)</f>
        <v>1.0</v>
      </c>
      <c r="E50" s="7">
        <f>C50*$B$9/$B$8</f>
        <v>0.0</v>
      </c>
      <c r="F50" s="12">
        <f>D50*$B$14</f>
        <v>4.925000000000001</v>
      </c>
      <c r="G50" s="7">
        <f>F50*($B$13+$B$19*Inputs!$D$147)/1000</f>
        <v>23.339575000000004</v>
      </c>
      <c r="H50" s="7">
        <f>$B$5*G50</f>
        <v>17.999982789855075</v>
      </c>
      <c r="I50" s="7">
        <f>D50*$B$16*$B$9</f>
        <v>0.0</v>
      </c>
      <c r="J50" s="7">
        <f>G50-H50-E50-I50</f>
        <v>5.339592210144929</v>
      </c>
      <c r="K50" s="7">
        <f>J50*B50</f>
        <v>2.6711254880281845</v>
      </c>
      <c r="L50" s="7">
        <f>IF(AND(A50&gt;=$B$8,A50&lt;$B$8+$B$18),$B$9/$B$18,0)</f>
        <v>10.0</v>
      </c>
      <c r="M50" s="7">
        <f>G50-H50-L50</f>
        <v>-4.660407789855071</v>
      </c>
      <c r="N50" s="7">
        <f>SUM($M$41:M50)</f>
        <v>-37.28326231884057</v>
      </c>
      <c r="O50" s="7">
        <f>$B$17*MAX(0,N50)</f>
        <v>0.0</v>
      </c>
      <c r="P50" s="7">
        <f>MAX(0,O50-O49)</f>
        <v>0.0</v>
      </c>
      <c r="Q50" s="7">
        <f>J50-P50</f>
        <v>5.339592210144929</v>
      </c>
      <c r="R50" s="7">
        <f>Q50*B50</f>
        <v>2.6711254880281845</v>
      </c>
      <c r="S50" s="7">
        <f>SUM($Q$41:Q50)</f>
        <v>-157.28326231884057</v>
      </c>
      <c r="U50" s="7" t="e">
        <f>IF(J50&lt;0,-J50,NA())</f>
        <v>#N/A</v>
      </c>
      <c r="V50" s="7">
        <f>IF(J50&gt;0,J50,NA())</f>
        <v>5.339592210144929</v>
      </c>
    </row>
    <row r="51" spans="1:22" x14ac:dyDescent="0.3">
      <c r="A51">
        <v>10</v>
      </c>
      <c r="B51" s="6">
        <f>1/(1+$B$6)^A51</f>
        <v>0.46319348808468414</v>
      </c>
      <c r="C51">
        <f>IF(A51&lt;$B$8,1,0)</f>
        <v>0.0</v>
      </c>
      <c r="D51">
        <f>IF(AND(A51&gt;=$B$8,A51&lt;$B$8+$B$7),1,0)</f>
        <v>1.0</v>
      </c>
      <c r="E51" s="7">
        <f>C51*$B$9/$B$8</f>
        <v>0.0</v>
      </c>
      <c r="F51" s="12">
        <f>D51*$B$14</f>
        <v>4.925000000000001</v>
      </c>
      <c r="G51" s="7">
        <f>F51*($B$13+$B$19*Inputs!$D$147)/1000</f>
        <v>23.339575000000004</v>
      </c>
      <c r="H51" s="7">
        <f>$B$5*G51</f>
        <v>17.999982789855075</v>
      </c>
      <c r="I51" s="7">
        <f>D51*$B$16*$B$9</f>
        <v>0.0</v>
      </c>
      <c r="J51" s="7">
        <f>G51-H51-E51-I51</f>
        <v>5.339592210144929</v>
      </c>
      <c r="K51" s="7">
        <f>J51*B51</f>
        <v>2.4732643407668373</v>
      </c>
      <c r="L51" s="7">
        <f>IF(AND(A51&gt;=$B$8,A51&lt;$B$8+$B$18),$B$9/$B$18,0)</f>
        <v>10.0</v>
      </c>
      <c r="M51" s="7">
        <f>G51-H51-L51</f>
        <v>-4.660407789855071</v>
      </c>
      <c r="N51" s="7">
        <f>SUM($M$41:M51)</f>
        <v>-41.94367010869564</v>
      </c>
      <c r="O51" s="7">
        <f>$B$17*MAX(0,N51)</f>
        <v>0.0</v>
      </c>
      <c r="P51" s="7">
        <f>MAX(0,O51-O50)</f>
        <v>0.0</v>
      </c>
      <c r="Q51" s="7">
        <f>J51-P51</f>
        <v>5.339592210144929</v>
      </c>
      <c r="R51" s="7">
        <f>Q51*B51</f>
        <v>2.4732643407668373</v>
      </c>
      <c r="S51" s="7">
        <f>SUM($Q$41:Q51)</f>
        <v>-151.94367010869564</v>
      </c>
      <c r="U51" s="7" t="e">
        <f>IF(J51&lt;0,-J51,NA())</f>
        <v>#N/A</v>
      </c>
      <c r="V51" s="7">
        <f>IF(J51&gt;0,J51,NA())</f>
        <v>5.339592210144929</v>
      </c>
    </row>
    <row r="52" spans="1:22" x14ac:dyDescent="0.3">
      <c r="A52">
        <v>11</v>
      </c>
      <c r="B52" s="6">
        <f>1/(1+$B$6)^A52</f>
        <v>0.4288828593376705</v>
      </c>
      <c r="C52">
        <f>IF(A52&lt;$B$8,1,0)</f>
        <v>0.0</v>
      </c>
      <c r="D52">
        <f>IF(AND(A52&gt;=$B$8,A52&lt;$B$8+$B$7),1,0)</f>
        <v>1.0</v>
      </c>
      <c r="E52" s="7">
        <f>C52*$B$9/$B$8</f>
        <v>0.0</v>
      </c>
      <c r="F52" s="12">
        <f>D52*$B$14</f>
        <v>4.925000000000001</v>
      </c>
      <c r="G52" s="7">
        <f>F52*($B$13+$B$19*Inputs!$D$147)/1000</f>
        <v>23.339575000000004</v>
      </c>
      <c r="H52" s="7">
        <f>$B$5*G52</f>
        <v>17.999982789855075</v>
      </c>
      <c r="I52" s="7">
        <f>D52*$B$16*$B$9</f>
        <v>0.0</v>
      </c>
      <c r="J52" s="7">
        <f>G52-H52-E52-I52</f>
        <v>5.339592210144929</v>
      </c>
      <c r="K52" s="7">
        <f>J52*B52</f>
        <v>2.2900595747841086</v>
      </c>
      <c r="L52" s="7">
        <f>IF(AND(A52&gt;=$B$8,A52&lt;$B$8+$B$18),$B$9/$B$18,0)</f>
        <v>10.0</v>
      </c>
      <c r="M52" s="7">
        <f>G52-H52-L52</f>
        <v>-4.660407789855071</v>
      </c>
      <c r="N52" s="7">
        <f>SUM($M$41:M52)</f>
        <v>-46.60407789855071</v>
      </c>
      <c r="O52" s="7">
        <f>$B$17*MAX(0,N52)</f>
        <v>0.0</v>
      </c>
      <c r="P52" s="7">
        <f>MAX(0,O52-O51)</f>
        <v>0.0</v>
      </c>
      <c r="Q52" s="7">
        <f>J52-P52</f>
        <v>5.339592210144929</v>
      </c>
      <c r="R52" s="7">
        <f>Q52*B52</f>
        <v>2.2900595747841086</v>
      </c>
      <c r="S52" s="7">
        <f>SUM($Q$41:Q52)</f>
        <v>-146.6040778985507</v>
      </c>
      <c r="U52" s="7" t="e">
        <f>IF(J52&lt;0,-J52,NA())</f>
        <v>#N/A</v>
      </c>
      <c r="V52" s="7">
        <f>IF(J52&gt;0,J52,NA())</f>
        <v>5.339592210144929</v>
      </c>
    </row>
    <row r="53" spans="1:22" x14ac:dyDescent="0.3">
      <c r="A53">
        <v>12</v>
      </c>
      <c r="B53" s="6">
        <f>1/(1+$B$6)^A53</f>
        <v>0.3971137586459912</v>
      </c>
      <c r="C53">
        <f>IF(A53&lt;$B$8,1,0)</f>
        <v>0.0</v>
      </c>
      <c r="D53">
        <f>IF(AND(A53&gt;=$B$8,A53&lt;$B$8+$B$7),1,0)</f>
        <v>1.0</v>
      </c>
      <c r="E53" s="7">
        <f>C53*$B$9/$B$8</f>
        <v>0.0</v>
      </c>
      <c r="F53" s="12">
        <f>D53*$B$14</f>
        <v>4.925000000000001</v>
      </c>
      <c r="G53" s="7">
        <f>F53*($B$13+$B$19*Inputs!$D$147)/1000</f>
        <v>23.339575000000004</v>
      </c>
      <c r="H53" s="7">
        <f>$B$5*G53</f>
        <v>17.999982789855075</v>
      </c>
      <c r="I53" s="7">
        <f>D53*$B$16*$B$9</f>
        <v>0.0</v>
      </c>
      <c r="J53" s="7">
        <f>G53-H53-E53-I53</f>
        <v>5.339592210144929</v>
      </c>
      <c r="K53" s="7">
        <f>J53*B53</f>
        <v>2.120425532207508</v>
      </c>
      <c r="L53" s="7">
        <f>IF(AND(A53&gt;=$B$8,A53&lt;$B$8+$B$18),$B$9/$B$18,0)</f>
        <v>10.0</v>
      </c>
      <c r="M53" s="7">
        <f>G53-H53-L53</f>
        <v>-4.660407789855071</v>
      </c>
      <c r="N53" s="7">
        <f>SUM($M$41:M53)</f>
        <v>-51.264485688405784</v>
      </c>
      <c r="O53" s="7">
        <f>$B$17*MAX(0,N53)</f>
        <v>0.0</v>
      </c>
      <c r="P53" s="7">
        <f>MAX(0,O53-O52)</f>
        <v>0.0</v>
      </c>
      <c r="Q53" s="7">
        <f>J53-P53</f>
        <v>5.339592210144929</v>
      </c>
      <c r="R53" s="7">
        <f>Q53*B53</f>
        <v>2.120425532207508</v>
      </c>
      <c r="S53" s="7">
        <f>SUM($Q$41:Q53)</f>
        <v>-141.26448568840578</v>
      </c>
      <c r="U53" s="7" t="e">
        <f>IF(J53&lt;0,-J53,NA())</f>
        <v>#N/A</v>
      </c>
      <c r="V53" s="7">
        <f>IF(J53&gt;0,J53,NA())</f>
        <v>5.339592210144929</v>
      </c>
    </row>
    <row r="54" spans="1:22" x14ac:dyDescent="0.3">
      <c r="A54">
        <v>13</v>
      </c>
      <c r="B54" s="6">
        <f>1/(1+$B$6)^A54</f>
        <v>0.367697924672214</v>
      </c>
      <c r="C54">
        <f>IF(A54&lt;$B$8,1,0)</f>
        <v>0.0</v>
      </c>
      <c r="D54">
        <f>IF(AND(A54&gt;=$B$8,A54&lt;$B$8+$B$7),1,0)</f>
        <v>1.0</v>
      </c>
      <c r="E54" s="7">
        <f>C54*$B$9/$B$8</f>
        <v>0.0</v>
      </c>
      <c r="F54" s="12">
        <f>D54*$B$14</f>
        <v>4.925000000000001</v>
      </c>
      <c r="G54" s="7">
        <f>F54*($B$13+$B$19*Inputs!$D$147)/1000</f>
        <v>23.339575000000004</v>
      </c>
      <c r="H54" s="7">
        <f>$B$5*G54</f>
        <v>17.999982789855075</v>
      </c>
      <c r="I54" s="7">
        <f>D54*$B$16*$B$9</f>
        <v>0.0</v>
      </c>
      <c r="J54" s="7">
        <f>G54-H54-E54-I54</f>
        <v>5.339592210144929</v>
      </c>
      <c r="K54" s="7">
        <f>J54*B54</f>
        <v>1.9633569742662107</v>
      </c>
      <c r="L54" s="7">
        <f>IF(AND(A54&gt;=$B$8,A54&lt;$B$8+$B$18),$B$9/$B$18,0)</f>
        <v>10.0</v>
      </c>
      <c r="M54" s="7">
        <f>G54-H54-L54</f>
        <v>-4.660407789855071</v>
      </c>
      <c r="N54" s="7">
        <f>SUM($M$41:M54)</f>
        <v>-55.924893478260856</v>
      </c>
      <c r="O54" s="7">
        <f>$B$17*MAX(0,N54)</f>
        <v>0.0</v>
      </c>
      <c r="P54" s="7">
        <f>MAX(0,O54-O53)</f>
        <v>0.0</v>
      </c>
      <c r="Q54" s="7">
        <f>J54-P54</f>
        <v>5.339592210144929</v>
      </c>
      <c r="R54" s="7">
        <f>Q54*B54</f>
        <v>1.9633569742662107</v>
      </c>
      <c r="S54" s="7">
        <f>SUM($Q$41:Q54)</f>
        <v>-135.92489347826086</v>
      </c>
      <c r="U54" s="7" t="e">
        <f>IF(J54&lt;0,-J54,NA())</f>
        <v>#N/A</v>
      </c>
      <c r="V54" s="7">
        <f>IF(J54&gt;0,J54,NA())</f>
        <v>5.339592210144929</v>
      </c>
    </row>
    <row r="55" spans="1:22" x14ac:dyDescent="0.3">
      <c r="A55">
        <v>14</v>
      </c>
      <c r="B55" s="6">
        <f>1/(1+$B$6)^A55</f>
        <v>0.34046104136316113</v>
      </c>
      <c r="C55">
        <f>IF(A55&lt;$B$8,1,0)</f>
        <v>0.0</v>
      </c>
      <c r="D55">
        <f>IF(AND(A55&gt;=$B$8,A55&lt;$B$8+$B$7),1,0)</f>
        <v>1.0</v>
      </c>
      <c r="E55" s="7">
        <f>C55*$B$9/$B$8</f>
        <v>0.0</v>
      </c>
      <c r="F55" s="12">
        <f>D55*$B$14</f>
        <v>4.925000000000001</v>
      </c>
      <c r="G55" s="7">
        <f>F55*($B$13+$B$19*Inputs!$D$147)/1000</f>
        <v>23.339575000000004</v>
      </c>
      <c r="H55" s="7">
        <f>$B$5*G55</f>
        <v>17.999982789855075</v>
      </c>
      <c r="I55" s="7">
        <f>D55*$B$16*$B$9</f>
        <v>0.0</v>
      </c>
      <c r="J55" s="7">
        <f>G55-H55-E55-I55</f>
        <v>5.339592210144929</v>
      </c>
      <c r="K55" s="7">
        <f>J55*B55</f>
        <v>1.8179231243205656</v>
      </c>
      <c r="L55" s="7">
        <f>IF(AND(A55&gt;=$B$8,A55&lt;$B$8+$B$18),$B$9/$B$18,0)</f>
        <v>10.0</v>
      </c>
      <c r="M55" s="7">
        <f>G55-H55-L55</f>
        <v>-4.660407789855071</v>
      </c>
      <c r="N55" s="7">
        <f>SUM($M$41:M55)</f>
        <v>-60.58530126811593</v>
      </c>
      <c r="O55" s="7">
        <f>$B$17*MAX(0,N55)</f>
        <v>0.0</v>
      </c>
      <c r="P55" s="7">
        <f>MAX(0,O55-O54)</f>
        <v>0.0</v>
      </c>
      <c r="Q55" s="7">
        <f>J55-P55</f>
        <v>5.339592210144929</v>
      </c>
      <c r="R55" s="7">
        <f>Q55*B55</f>
        <v>1.8179231243205656</v>
      </c>
      <c r="S55" s="7">
        <f>SUM($Q$41:Q55)</f>
        <v>-130.58530126811593</v>
      </c>
      <c r="U55" s="7" t="e">
        <f>IF(J55&lt;0,-J55,NA())</f>
        <v>#N/A</v>
      </c>
      <c r="V55" s="7">
        <f>IF(J55&gt;0,J55,NA())</f>
        <v>5.339592210144929</v>
      </c>
    </row>
    <row r="56" spans="1:22" x14ac:dyDescent="0.3">
      <c r="A56">
        <v>15</v>
      </c>
      <c r="B56" s="6">
        <f>1/(1+$B$6)^A56</f>
        <v>0.31524170496588994</v>
      </c>
      <c r="C56">
        <f>IF(A56&lt;$B$8,1,0)</f>
        <v>0.0</v>
      </c>
      <c r="D56">
        <f>IF(AND(A56&gt;=$B$8,A56&lt;$B$8+$B$7),1,0)</f>
        <v>1.0</v>
      </c>
      <c r="E56" s="7">
        <f>C56*$B$9/$B$8</f>
        <v>0.0</v>
      </c>
      <c r="F56" s="12">
        <f>D56*$B$14</f>
        <v>4.925000000000001</v>
      </c>
      <c r="G56" s="7">
        <f>F56*($B$13+$B$19*Inputs!$D$147)/1000</f>
        <v>23.339575000000004</v>
      </c>
      <c r="H56" s="7">
        <f>$B$5*G56</f>
        <v>17.999982789855075</v>
      </c>
      <c r="I56" s="7">
        <f>D56*$B$16*$B$9</f>
        <v>0.0</v>
      </c>
      <c r="J56" s="7">
        <f>G56-H56-E56-I56</f>
        <v>5.339592210144929</v>
      </c>
      <c r="K56" s="7">
        <f>J56*B56</f>
        <v>1.6832621521486717</v>
      </c>
      <c r="L56" s="7">
        <f>IF(AND(A56&gt;=$B$8,A56&lt;$B$8+$B$18),$B$9/$B$18,0)</f>
        <v>10.0</v>
      </c>
      <c r="M56" s="7">
        <f>G56-H56-L56</f>
        <v>-4.660407789855071</v>
      </c>
      <c r="N56" s="7">
        <f>SUM($M$41:M56)</f>
        <v>-65.245709057971</v>
      </c>
      <c r="O56" s="7">
        <f>$B$17*MAX(0,N56)</f>
        <v>0.0</v>
      </c>
      <c r="P56" s="7">
        <f>MAX(0,O56-O55)</f>
        <v>0.0</v>
      </c>
      <c r="Q56" s="7">
        <f>J56-P56</f>
        <v>5.339592210144929</v>
      </c>
      <c r="R56" s="7">
        <f>Q56*B56</f>
        <v>1.6832621521486717</v>
      </c>
      <c r="S56" s="7">
        <f>SUM($Q$41:Q56)</f>
        <v>-125.245709057971</v>
      </c>
      <c r="U56" s="7" t="e">
        <f>IF(J56&lt;0,-J56,NA())</f>
        <v>#N/A</v>
      </c>
      <c r="V56" s="7">
        <f>IF(J56&gt;0,J56,NA())</f>
        <v>5.339592210144929</v>
      </c>
    </row>
    <row r="57" spans="1:22" x14ac:dyDescent="0.3">
      <c r="A57">
        <v>16</v>
      </c>
      <c r="B57" s="6">
        <f>1/(1+$B$6)^A57</f>
        <v>0.29189046756100917</v>
      </c>
      <c r="C57">
        <f>IF(A57&lt;$B$8,1,0)</f>
        <v>0.0</v>
      </c>
      <c r="D57">
        <f>IF(AND(A57&gt;=$B$8,A57&lt;$B$8+$B$7),1,0)</f>
        <v>1.0</v>
      </c>
      <c r="E57" s="7">
        <f>C57*$B$9/$B$8</f>
        <v>0.0</v>
      </c>
      <c r="F57" s="12">
        <f>D57*$B$14</f>
        <v>4.925000000000001</v>
      </c>
      <c r="G57" s="7">
        <f>F57*($B$13+$B$19*Inputs!$D$147)/1000</f>
        <v>23.339575000000004</v>
      </c>
      <c r="H57" s="7">
        <f>$B$5*G57</f>
        <v>17.999982789855075</v>
      </c>
      <c r="I57" s="7">
        <f>D57*$B$16*$B$9</f>
        <v>0.0</v>
      </c>
      <c r="J57" s="7">
        <f>G57-H57-E57-I57</f>
        <v>5.339592210144929</v>
      </c>
      <c r="K57" s="7">
        <f>J57*B57</f>
        <v>1.5585760668043256</v>
      </c>
      <c r="L57" s="7">
        <f>IF(AND(A57&gt;=$B$8,A57&lt;$B$8+$B$18),$B$9/$B$18,0)</f>
        <v>10.0</v>
      </c>
      <c r="M57" s="7">
        <f>G57-H57-L57</f>
        <v>-4.660407789855071</v>
      </c>
      <c r="N57" s="7">
        <f>SUM($M$41:M57)</f>
        <v>-69.90611684782607</v>
      </c>
      <c r="O57" s="7">
        <f>$B$17*MAX(0,N57)</f>
        <v>0.0</v>
      </c>
      <c r="P57" s="7">
        <f>MAX(0,O57-O56)</f>
        <v>0.0</v>
      </c>
      <c r="Q57" s="7">
        <f>J57-P57</f>
        <v>5.339592210144929</v>
      </c>
      <c r="R57" s="7">
        <f>Q57*B57</f>
        <v>1.5585760668043256</v>
      </c>
      <c r="S57" s="7">
        <f>SUM($Q$41:Q57)</f>
        <v>-119.90611684782607</v>
      </c>
      <c r="U57" s="7" t="e">
        <f>IF(J57&lt;0,-J57,NA())</f>
        <v>#N/A</v>
      </c>
      <c r="V57" s="7">
        <f>IF(J57&gt;0,J57,NA())</f>
        <v>5.339592210144929</v>
      </c>
    </row>
    <row r="58" spans="1:22" x14ac:dyDescent="0.3">
      <c r="A58">
        <v>17</v>
      </c>
      <c r="B58" s="6">
        <f>1/(1+$B$6)^A58</f>
        <v>0.2702689514453788</v>
      </c>
      <c r="C58">
        <f>IF(A58&lt;$B$8,1,0)</f>
        <v>0.0</v>
      </c>
      <c r="D58">
        <f>IF(AND(A58&gt;=$B$8,A58&lt;$B$8+$B$7),1,0)</f>
        <v>1.0</v>
      </c>
      <c r="E58" s="7">
        <f>C58*$B$9/$B$8</f>
        <v>0.0</v>
      </c>
      <c r="F58" s="12">
        <f>D58*$B$14</f>
        <v>4.925000000000001</v>
      </c>
      <c r="G58" s="7">
        <f>F58*($B$13+$B$19*Inputs!$D$147)/1000</f>
        <v>23.339575000000004</v>
      </c>
      <c r="H58" s="7">
        <f>$B$5*G58</f>
        <v>17.999982789855075</v>
      </c>
      <c r="I58" s="7">
        <f>D58*$B$16*$B$9</f>
        <v>0.0</v>
      </c>
      <c r="J58" s="7">
        <f>G58-H58-E58-I58</f>
        <v>5.339592210144929</v>
      </c>
      <c r="K58" s="7">
        <f>J58*B58</f>
        <v>1.4431259877817828</v>
      </c>
      <c r="L58" s="7">
        <f>IF(AND(A58&gt;=$B$8,A58&lt;$B$8+$B$18),$B$9/$B$18,0)</f>
        <v>10.0</v>
      </c>
      <c r="M58" s="7">
        <f>G58-H58-L58</f>
        <v>-4.660407789855071</v>
      </c>
      <c r="N58" s="7">
        <f>SUM($M$41:M58)</f>
        <v>-74.56652463768114</v>
      </c>
      <c r="O58" s="7">
        <f>$B$17*MAX(0,N58)</f>
        <v>0.0</v>
      </c>
      <c r="P58" s="7">
        <f>MAX(0,O58-O57)</f>
        <v>0.0</v>
      </c>
      <c r="Q58" s="7">
        <f>J58-P58</f>
        <v>5.339592210144929</v>
      </c>
      <c r="R58" s="7">
        <f>Q58*B58</f>
        <v>1.4431259877817828</v>
      </c>
      <c r="S58" s="7">
        <f>SUM($Q$41:Q58)</f>
        <v>-114.56652463768114</v>
      </c>
      <c r="U58" s="7" t="e">
        <f>IF(J58&lt;0,-J58,NA())</f>
        <v>#N/A</v>
      </c>
      <c r="V58" s="7">
        <f>IF(J58&gt;0,J58,NA())</f>
        <v>5.339592210144929</v>
      </c>
    </row>
    <row r="59" spans="1:22" x14ac:dyDescent="0.3">
      <c r="A59">
        <v>18</v>
      </c>
      <c r="B59" s="6">
        <f>1/(1+$B$6)^A59</f>
        <v>0.2502490291160915</v>
      </c>
      <c r="C59">
        <f>IF(A59&lt;$B$8,1,0)</f>
        <v>0.0</v>
      </c>
      <c r="D59">
        <f>IF(AND(A59&gt;=$B$8,A59&lt;$B$8+$B$7),1,0)</f>
        <v>1.0</v>
      </c>
      <c r="E59" s="7">
        <f>C59*$B$9/$B$8</f>
        <v>0.0</v>
      </c>
      <c r="F59" s="12">
        <f>D59*$B$14</f>
        <v>4.925000000000001</v>
      </c>
      <c r="G59" s="7">
        <f>F59*($B$13+$B$19*Inputs!$D$147)/1000</f>
        <v>23.339575000000004</v>
      </c>
      <c r="H59" s="7">
        <f>$B$5*G59</f>
        <v>17.999982789855075</v>
      </c>
      <c r="I59" s="7">
        <f>D59*$B$16*$B$9</f>
        <v>0.0</v>
      </c>
      <c r="J59" s="7">
        <f>G59-H59-E59-I59</f>
        <v>5.339592210144929</v>
      </c>
      <c r="K59" s="7">
        <f>J59*B59</f>
        <v>1.3362277664646136</v>
      </c>
      <c r="L59" s="7">
        <f>IF(AND(A59&gt;=$B$8,A59&lt;$B$8+$B$18),$B$9/$B$18,0)</f>
        <v>10.0</v>
      </c>
      <c r="M59" s="7">
        <f>G59-H59-L59</f>
        <v>-4.660407789855071</v>
      </c>
      <c r="N59" s="7">
        <f>SUM($M$41:M59)</f>
        <v>-79.22693242753621</v>
      </c>
      <c r="O59" s="7">
        <f>$B$17*MAX(0,N59)</f>
        <v>0.0</v>
      </c>
      <c r="P59" s="7">
        <f>MAX(0,O59-O58)</f>
        <v>0.0</v>
      </c>
      <c r="Q59" s="7">
        <f>J59-P59</f>
        <v>5.339592210144929</v>
      </c>
      <c r="R59" s="7">
        <f>Q59*B59</f>
        <v>1.3362277664646136</v>
      </c>
      <c r="S59" s="7">
        <f>SUM($Q$41:Q59)</f>
        <v>-109.22693242753621</v>
      </c>
      <c r="U59" s="7" t="e">
        <f>IF(J59&lt;0,-J59,NA())</f>
        <v>#N/A</v>
      </c>
      <c r="V59" s="7">
        <f>IF(J59&gt;0,J59,NA())</f>
        <v>5.339592210144929</v>
      </c>
    </row>
    <row r="60" spans="1:22" x14ac:dyDescent="0.3">
      <c r="A60">
        <v>19</v>
      </c>
      <c r="B60" s="6">
        <f>1/(1+$B$6)^A60</f>
        <v>0.231712063996381</v>
      </c>
      <c r="C60">
        <f>IF(A60&lt;$B$8,1,0)</f>
        <v>0.0</v>
      </c>
      <c r="D60">
        <f>IF(AND(A60&gt;=$B$8,A60&lt;$B$8+$B$7),1,0)</f>
        <v>1.0</v>
      </c>
      <c r="E60" s="7">
        <f>C60*$B$9/$B$8</f>
        <v>0.0</v>
      </c>
      <c r="F60" s="12">
        <f>D60*$B$14</f>
        <v>4.925000000000001</v>
      </c>
      <c r="G60" s="7">
        <f>F60*($B$13+$B$19*Inputs!$D$147)/1000</f>
        <v>23.339575000000004</v>
      </c>
      <c r="H60" s="7">
        <f>$B$5*G60</f>
        <v>17.999982789855075</v>
      </c>
      <c r="I60" s="7">
        <f>D60*$B$16*$B$9</f>
        <v>0.0</v>
      </c>
      <c r="J60" s="7">
        <f>G60-H60-E60-I60</f>
        <v>5.339592210144929</v>
      </c>
      <c r="K60" s="7">
        <f>J60*B60</f>
        <v>1.2372479319116791</v>
      </c>
      <c r="L60" s="7">
        <f>IF(AND(A60&gt;=$B$8,A60&lt;$B$8+$B$18),$B$9/$B$18,0)</f>
        <v>10.0</v>
      </c>
      <c r="M60" s="7">
        <f>G60-H60-L60</f>
        <v>-4.660407789855071</v>
      </c>
      <c r="N60" s="7">
        <f>SUM($M$41:M60)</f>
        <v>-83.88734021739128</v>
      </c>
      <c r="O60" s="7">
        <f>$B$17*MAX(0,N60)</f>
        <v>0.0</v>
      </c>
      <c r="P60" s="7">
        <f>MAX(0,O60-O59)</f>
        <v>0.0</v>
      </c>
      <c r="Q60" s="7">
        <f>J60-P60</f>
        <v>5.339592210144929</v>
      </c>
      <c r="R60" s="7">
        <f>Q60*B60</f>
        <v>1.2372479319116791</v>
      </c>
      <c r="S60" s="7">
        <f>SUM($Q$41:Q60)</f>
        <v>-103.88734021739128</v>
      </c>
      <c r="U60" s="7" t="e">
        <f>IF(J60&lt;0,-J60,NA())</f>
        <v>#N/A</v>
      </c>
      <c r="V60" s="7">
        <f>IF(J60&gt;0,J60,NA())</f>
        <v>5.339592210144929</v>
      </c>
    </row>
    <row r="61" spans="1:22" x14ac:dyDescent="0.3">
      <c r="A61">
        <v>20</v>
      </c>
      <c r="B61" s="6">
        <f>1/(1+$B$6)^A61</f>
        <v>0.21454820740405645</v>
      </c>
      <c r="C61">
        <f>IF(A61&lt;$B$8,1,0)</f>
        <v>0.0</v>
      </c>
      <c r="D61">
        <f>IF(AND(A61&gt;=$B$8,A61&lt;$B$8+$B$7),1,0)</f>
        <v>1.0</v>
      </c>
      <c r="E61" s="7">
        <f>C61*$B$9/$B$8</f>
        <v>0.0</v>
      </c>
      <c r="F61" s="12">
        <f>D61*$B$14</f>
        <v>4.925000000000001</v>
      </c>
      <c r="G61" s="7">
        <f>F61*($B$13+$B$19*Inputs!$D$147)/1000</f>
        <v>23.339575000000004</v>
      </c>
      <c r="H61" s="7">
        <f>$B$5*G61</f>
        <v>17.999982789855075</v>
      </c>
      <c r="I61" s="7">
        <f>D61*$B$16*$B$9</f>
        <v>0.0</v>
      </c>
      <c r="J61" s="7">
        <f>G61-H61-E61-I61</f>
        <v>5.339592210144929</v>
      </c>
      <c r="K61" s="7">
        <f>J61*B61</f>
        <v>1.1455999369552583</v>
      </c>
      <c r="L61" s="7">
        <f>IF(AND(A61&gt;=$B$8,A61&lt;$B$8+$B$18),$B$9/$B$18,0)</f>
        <v>10.0</v>
      </c>
      <c r="M61" s="7">
        <f>G61-H61-L61</f>
        <v>-4.660407789855071</v>
      </c>
      <c r="N61" s="7">
        <f>SUM($M$41:M61)</f>
        <v>-88.54774800724635</v>
      </c>
      <c r="O61" s="7">
        <f>$B$17*MAX(0,N61)</f>
        <v>0.0</v>
      </c>
      <c r="P61" s="7">
        <f>MAX(0,O61-O60)</f>
        <v>0.0</v>
      </c>
      <c r="Q61" s="7">
        <f>J61-P61</f>
        <v>5.339592210144929</v>
      </c>
      <c r="R61" s="7">
        <f>Q61*B61</f>
        <v>1.1455999369552583</v>
      </c>
      <c r="S61" s="7">
        <f>SUM($Q$41:Q61)</f>
        <v>-98.54774800724635</v>
      </c>
      <c r="U61" s="7" t="e">
        <f>IF(J61&lt;0,-J61,NA())</f>
        <v>#N/A</v>
      </c>
      <c r="V61" s="7">
        <f>IF(J61&gt;0,J61,NA())</f>
        <v>5.339592210144929</v>
      </c>
    </row>
    <row r="62" spans="1:22" x14ac:dyDescent="0.3">
      <c r="A62">
        <v>21</v>
      </c>
      <c r="B62" s="6">
        <f>1/(1+$B$6)^A62</f>
        <v>0.19865574759634858</v>
      </c>
      <c r="C62">
        <f>IF(A62&lt;$B$8,1,0)</f>
        <v>0.0</v>
      </c>
      <c r="D62">
        <f>IF(AND(A62&gt;=$B$8,A62&lt;$B$8+$B$7),1,0)</f>
        <v>1.0</v>
      </c>
      <c r="E62" s="7">
        <f>C62*$B$9/$B$8</f>
        <v>0.0</v>
      </c>
      <c r="F62" s="12">
        <f>D62*$B$14</f>
        <v>4.925000000000001</v>
      </c>
      <c r="G62" s="7">
        <f>F62*($B$13+$B$19*Inputs!$D$147)/1000</f>
        <v>23.339575000000004</v>
      </c>
      <c r="H62" s="7">
        <f>$B$5*G62</f>
        <v>17.999982789855075</v>
      </c>
      <c r="I62" s="7">
        <f>D62*$B$16*$B$9</f>
        <v>0.0</v>
      </c>
      <c r="J62" s="7">
        <f>G62-H62-E62-I62</f>
        <v>5.339592210144929</v>
      </c>
      <c r="K62" s="7">
        <f>J62*B62</f>
        <v>1.06074068236598</v>
      </c>
      <c r="L62" s="7">
        <f>IF(AND(A62&gt;=$B$8,A62&lt;$B$8+$B$18),$B$9/$B$18,0)</f>
        <v>10.0</v>
      </c>
      <c r="M62" s="7">
        <f>G62-H62-L62</f>
        <v>-4.660407789855071</v>
      </c>
      <c r="N62" s="7">
        <f>SUM($M$41:M62)</f>
        <v>-93.20815579710143</v>
      </c>
      <c r="O62" s="7">
        <f>$B$17*MAX(0,N62)</f>
        <v>0.0</v>
      </c>
      <c r="P62" s="7">
        <f>MAX(0,O62-O61)</f>
        <v>0.0</v>
      </c>
      <c r="Q62" s="7">
        <f>J62-P62</f>
        <v>5.339592210144929</v>
      </c>
      <c r="R62" s="7">
        <f>Q62*B62</f>
        <v>1.06074068236598</v>
      </c>
      <c r="S62" s="7">
        <f>SUM($Q$41:Q62)</f>
        <v>-93.20815579710143</v>
      </c>
      <c r="U62" s="7" t="e">
        <f>IF(J62&lt;0,-J62,NA())</f>
        <v>#N/A</v>
      </c>
      <c r="V62" s="7">
        <f>IF(J62&gt;0,J62,NA())</f>
        <v>5.339592210144929</v>
      </c>
    </row>
    <row r="63" spans="1:22" x14ac:dyDescent="0.3">
      <c r="A63">
        <v>22</v>
      </c>
      <c r="B63" s="6">
        <f>1/(1+$B$6)^A63</f>
        <v>0.18394050703365605</v>
      </c>
      <c r="C63">
        <f>IF(A63&lt;$B$8,1,0)</f>
        <v>0.0</v>
      </c>
      <c r="D63">
        <f>IF(AND(A63&gt;=$B$8,A63&lt;$B$8+$B$7),1,0)</f>
        <v>0.0</v>
      </c>
      <c r="E63" s="7">
        <f>C63*$B$9/$B$8</f>
        <v>0.0</v>
      </c>
      <c r="F63" s="12">
        <f>D63*$B$14</f>
        <v>0.0</v>
      </c>
      <c r="G63" s="7">
        <f>F63*($B$13+$B$19*Inputs!$D$147)/1000</f>
        <v>0.0</v>
      </c>
      <c r="H63" s="7">
        <f>$B$5*G63</f>
        <v>0.0</v>
      </c>
      <c r="I63" s="7">
        <f>D63*$B$16*$B$9</f>
        <v>0.0</v>
      </c>
      <c r="J63" s="7">
        <f>G63-H63-E63-I63</f>
        <v>0.0</v>
      </c>
      <c r="K63" s="7">
        <f>J63*B63</f>
        <v>0.0</v>
      </c>
      <c r="L63" s="7">
        <f>IF(AND(A63&gt;=$B$8,A63&lt;$B$8+$B$18),$B$9/$B$18,0)</f>
        <v>0.0</v>
      </c>
      <c r="M63" s="7">
        <f>G63-H63-L63</f>
        <v>0.0</v>
      </c>
      <c r="N63" s="7">
        <f>SUM($M$41:M63)</f>
        <v>-93.20815579710143</v>
      </c>
      <c r="O63" s="7">
        <f>$B$17*MAX(0,N63)</f>
        <v>0.0</v>
      </c>
      <c r="P63" s="7">
        <f>MAX(0,O63-O62)</f>
        <v>0.0</v>
      </c>
      <c r="Q63" s="7">
        <f>J63-P63</f>
        <v>0.0</v>
      </c>
      <c r="R63" s="7">
        <f>Q63*B63</f>
        <v>0.0</v>
      </c>
      <c r="S63" s="7">
        <f>SUM($Q$41:Q63)</f>
        <v>-93.20815579710143</v>
      </c>
      <c r="U63" s="7" t="e">
        <f>IF(J63&lt;0,-J63,NA())</f>
        <v>#N/A</v>
      </c>
      <c r="V63" s="7" t="e">
        <f>IF(J63&gt;0,J63,NA())</f>
        <v>#N/A</v>
      </c>
    </row>
    <row spans="1:22" x14ac:dyDescent="0.3" r="64">
      <c r="A64">
        <v>23</v>
      </c>
      <c r="B64" s="6">
        <f>1/(1+$B$6)^A64</f>
        <v>0.17031528429042228</v>
      </c>
      <c r="C64">
        <f>IF(A64&lt;$B$8,1,0)</f>
        <v>0.0</v>
      </c>
      <c r="D64">
        <f>IF(AND(A64&gt;=$B$8,A64&lt;$B$8+$B$7),1,0)</f>
        <v>0.0</v>
      </c>
      <c r="E64" s="7">
        <f>C64*$B$9/$B$8</f>
        <v>0.0</v>
      </c>
      <c r="F64" s="12">
        <f>D64*$B$14</f>
        <v>0.0</v>
      </c>
      <c r="G64" s="7">
        <f>F64*($B$13+$B$19*Inputs!$D$147)/1000</f>
        <v>0.0</v>
      </c>
      <c r="H64" s="7">
        <f>$B$5*G64</f>
        <v>0.0</v>
      </c>
      <c r="I64" s="7">
        <f>D64*$B$16*$B$9</f>
        <v>0.0</v>
      </c>
      <c r="J64" s="7">
        <f>G64-H64-E64-I64</f>
        <v>0.0</v>
      </c>
      <c r="K64" s="7">
        <f>J64*B64</f>
        <v>0.0</v>
      </c>
      <c r="L64" s="7">
        <f>IF(AND(A64&gt;=$B$8,A64&lt;$B$8+$B$18),$B$9/$B$18,0)</f>
        <v>0.0</v>
      </c>
      <c r="M64" s="7">
        <f>G64-H64-L64</f>
        <v>0.0</v>
      </c>
      <c r="N64" s="7">
        <f>SUM($M$41:M64)</f>
        <v>-93.20815579710143</v>
      </c>
      <c r="O64" s="7">
        <f>$B$17*MAX(0,N64)</f>
        <v>0.0</v>
      </c>
      <c r="P64" s="7">
        <f>MAX(0,O64-O63)</f>
        <v>0.0</v>
      </c>
      <c r="Q64" s="7">
        <f>J64-P64</f>
        <v>0.0</v>
      </c>
      <c r="R64" s="7">
        <f>Q64*B64</f>
        <v>0.0</v>
      </c>
      <c r="S64" s="7">
        <f>SUM($Q$41:Q64)</f>
        <v>-93.20815579710143</v>
      </c>
      <c r="U64" s="7" t="e">
        <f>IF(J64&lt;0,-J64,NA())</f>
        <v>#N/A</v>
      </c>
      <c r="V64" s="7" t="e">
        <f>IF(J64&gt;0,J64,NA())</f>
        <v>#N/A</v>
      </c>
    </row>
    <row spans="1:22" x14ac:dyDescent="0.3" r="65">
      <c r="A65">
        <v>24</v>
      </c>
      <c r="B65" s="6">
        <f>1/(1+$B$6)^A65</f>
        <v>0.15769933730594654</v>
      </c>
      <c r="C65">
        <f>IF(A65&lt;$B$8,1,0)</f>
        <v>0.0</v>
      </c>
      <c r="D65">
        <f>IF(AND(A65&gt;=$B$8,A65&lt;$B$8+$B$7),1,0)</f>
        <v>0.0</v>
      </c>
      <c r="E65" s="7">
        <f>C65*$B$9/$B$8</f>
        <v>0.0</v>
      </c>
      <c r="F65" s="12">
        <f>D65*$B$14</f>
        <v>0.0</v>
      </c>
      <c r="G65" s="7">
        <f>F65*($B$13+$B$19*Inputs!$D$147)/1000</f>
        <v>0.0</v>
      </c>
      <c r="H65" s="7">
        <f>$B$5*G65</f>
        <v>0.0</v>
      </c>
      <c r="I65" s="7">
        <f>D65*$B$16*$B$9</f>
        <v>0.0</v>
      </c>
      <c r="J65" s="7">
        <f>G65-H65-E65-I65</f>
        <v>0.0</v>
      </c>
      <c r="K65" s="7">
        <f>J65*B65</f>
        <v>0.0</v>
      </c>
      <c r="L65" s="7">
        <f>IF(AND(A65&gt;=$B$8,A65&lt;$B$8+$B$18),$B$9/$B$18,0)</f>
        <v>0.0</v>
      </c>
      <c r="M65" s="7">
        <f>G65-H65-L65</f>
        <v>0.0</v>
      </c>
      <c r="N65" s="7">
        <f>SUM($M$41:M65)</f>
        <v>-93.20815579710143</v>
      </c>
      <c r="O65" s="7">
        <f>$B$17*MAX(0,N65)</f>
        <v>0.0</v>
      </c>
      <c r="P65" s="7">
        <f>MAX(0,O65-O64)</f>
        <v>0.0</v>
      </c>
      <c r="Q65" s="7">
        <f>J65-P65</f>
        <v>0.0</v>
      </c>
      <c r="R65" s="7">
        <f>Q65*B65</f>
        <v>0.0</v>
      </c>
      <c r="S65" s="7">
        <f>SUM($Q$41:Q65)</f>
        <v>-93.20815579710143</v>
      </c>
      <c r="U65" s="7" t="e">
        <f>IF(J65&lt;0,-J65,NA())</f>
        <v>#N/A</v>
      </c>
      <c r="V65" s="7" t="e">
        <f>IF(J65&gt;0,J65,NA())</f>
        <v>#N/A</v>
      </c>
    </row>
    <row spans="1:22" x14ac:dyDescent="0.3" r="66">
      <c r="A66">
        <v>25</v>
      </c>
      <c r="B66" s="6">
        <f>1/(1+$B$6)^A66</f>
        <v>0.14601790491291344</v>
      </c>
      <c r="C66">
        <f>IF(A66&lt;$B$8,1,0)</f>
        <v>0.0</v>
      </c>
      <c r="D66">
        <f>IF(AND(A66&gt;=$B$8,A66&lt;$B$8+$B$7),1,0)</f>
        <v>0.0</v>
      </c>
      <c r="E66" s="7">
        <f>C66*$B$9/$B$8</f>
        <v>0.0</v>
      </c>
      <c r="F66" s="12">
        <f>D66*$B$14</f>
        <v>0.0</v>
      </c>
      <c r="G66" s="7">
        <f>F66*($B$13+$B$19*Inputs!$D$147)/1000</f>
        <v>0.0</v>
      </c>
      <c r="H66" s="7">
        <f>$B$5*G66</f>
        <v>0.0</v>
      </c>
      <c r="I66" s="7">
        <f>D66*$B$16*$B$9</f>
        <v>0.0</v>
      </c>
      <c r="J66" s="7">
        <f>G66-H66-E66-I66</f>
        <v>0.0</v>
      </c>
      <c r="K66" s="7">
        <f>J66*B66</f>
        <v>0.0</v>
      </c>
      <c r="L66" s="7">
        <f>IF(AND(A66&gt;=$B$8,A66&lt;$B$8+$B$18),$B$9/$B$18,0)</f>
        <v>0.0</v>
      </c>
      <c r="M66" s="7">
        <f>G66-H66-L66</f>
        <v>0.0</v>
      </c>
      <c r="N66" s="7">
        <f>SUM($M$41:M66)</f>
        <v>-93.20815579710143</v>
      </c>
      <c r="O66" s="7">
        <f>$B$17*MAX(0,N66)</f>
        <v>0.0</v>
      </c>
      <c r="P66" s="7">
        <f>MAX(0,O66-O65)</f>
        <v>0.0</v>
      </c>
      <c r="Q66" s="7">
        <f>J66-P66</f>
        <v>0.0</v>
      </c>
      <c r="R66" s="7">
        <f>Q66*B66</f>
        <v>0.0</v>
      </c>
      <c r="S66" s="7">
        <f>SUM($Q$41:Q66)</f>
        <v>-93.20815579710143</v>
      </c>
      <c r="U66" s="7" t="e">
        <f>IF(J66&lt;0,-J66,NA())</f>
        <v>#N/A</v>
      </c>
      <c r="V66" s="7" t="e">
        <f>IF(J66&gt;0,J66,NA())</f>
        <v>#N/A</v>
      </c>
    </row>
    <row spans="1:22" x14ac:dyDescent="0.3" r="67">
      <c r="A67">
        <v>26</v>
      </c>
      <c r="B67" s="6">
        <f>1/(1+$B$6)^A67</f>
        <v>0.1352017638082532</v>
      </c>
      <c r="C67">
        <f>IF(A67&lt;$B$8,1,0)</f>
        <v>0.0</v>
      </c>
      <c r="D67">
        <f>IF(AND(A67&gt;=$B$8,A67&lt;$B$8+$B$7),1,0)</f>
        <v>0.0</v>
      </c>
      <c r="E67" s="7">
        <f>C67*$B$9/$B$8</f>
        <v>0.0</v>
      </c>
      <c r="F67" s="12">
        <f>D67*$B$14</f>
        <v>0.0</v>
      </c>
      <c r="G67" s="7">
        <f>F67*($B$13+$B$19*Inputs!$D$147)/1000</f>
        <v>0.0</v>
      </c>
      <c r="H67" s="7">
        <f>$B$5*G67</f>
        <v>0.0</v>
      </c>
      <c r="I67" s="7">
        <f>D67*$B$16*$B$9</f>
        <v>0.0</v>
      </c>
      <c r="J67" s="7">
        <f>G67-H67-E67-I67</f>
        <v>0.0</v>
      </c>
      <c r="K67" s="7">
        <f>J67*B67</f>
        <v>0.0</v>
      </c>
      <c r="L67" s="7">
        <f>IF(AND(A67&gt;=$B$8,A67&lt;$B$8+$B$18),$B$9/$B$18,0)</f>
        <v>0.0</v>
      </c>
      <c r="M67" s="7">
        <f>G67-H67-L67</f>
        <v>0.0</v>
      </c>
      <c r="N67" s="7">
        <f>SUM($M$41:M67)</f>
        <v>-93.20815579710143</v>
      </c>
      <c r="O67" s="7">
        <f>$B$17*MAX(0,N67)</f>
        <v>0.0</v>
      </c>
      <c r="P67" s="7">
        <f>MAX(0,O67-O66)</f>
        <v>0.0</v>
      </c>
      <c r="Q67" s="7">
        <f>J67-P67</f>
        <v>0.0</v>
      </c>
      <c r="R67" s="7">
        <f>Q67*B67</f>
        <v>0.0</v>
      </c>
      <c r="S67" s="7">
        <f>SUM($Q$41:Q67)</f>
        <v>-93.20815579710143</v>
      </c>
      <c r="U67" s="7" t="e">
        <f>IF(J67&lt;0,-J67,NA())</f>
        <v>#N/A</v>
      </c>
      <c r="V67" s="7" t="e">
        <f>IF(J67&gt;0,J67,NA())</f>
        <v>#N/A</v>
      </c>
    </row>
    <row spans="1:22" x14ac:dyDescent="0.3" r="68">
      <c r="A68">
        <v>27</v>
      </c>
      <c r="B68" s="6">
        <f>1/(1+$B$6)^A68</f>
        <v>0.12518681834097517</v>
      </c>
      <c r="C68">
        <f>IF(A68&lt;$B$8,1,0)</f>
        <v>0.0</v>
      </c>
      <c r="D68">
        <f>IF(AND(A68&gt;=$B$8,A68&lt;$B$8+$B$7),1,0)</f>
        <v>0.0</v>
      </c>
      <c r="E68" s="7">
        <f>C68*$B$9/$B$8</f>
        <v>0.0</v>
      </c>
      <c r="F68" s="12">
        <f>D68*$B$14</f>
        <v>0.0</v>
      </c>
      <c r="G68" s="7">
        <f>F68*($B$13+$B$19*Inputs!$D$147)/1000</f>
        <v>0.0</v>
      </c>
      <c r="H68" s="7">
        <f>$B$5*G68</f>
        <v>0.0</v>
      </c>
      <c r="I68" s="7">
        <f>D68*$B$16*$B$9</f>
        <v>0.0</v>
      </c>
      <c r="J68" s="7">
        <f>G68-H68-E68-I68</f>
        <v>0.0</v>
      </c>
      <c r="K68" s="7">
        <f>J68*B68</f>
        <v>0.0</v>
      </c>
      <c r="L68" s="7">
        <f>IF(AND(A68&gt;=$B$8,A68&lt;$B$8+$B$18),$B$9/$B$18,0)</f>
        <v>0.0</v>
      </c>
      <c r="M68" s="7">
        <f>G68-H68-L68</f>
        <v>0.0</v>
      </c>
      <c r="N68" s="7">
        <f>SUM($M$41:M68)</f>
        <v>-93.20815579710143</v>
      </c>
      <c r="O68" s="7">
        <f>$B$17*MAX(0,N68)</f>
        <v>0.0</v>
      </c>
      <c r="P68" s="7">
        <f>MAX(0,O68-O67)</f>
        <v>0.0</v>
      </c>
      <c r="Q68" s="7">
        <f>J68-P68</f>
        <v>0.0</v>
      </c>
      <c r="R68" s="7">
        <f>Q68*B68</f>
        <v>0.0</v>
      </c>
      <c r="S68" s="7">
        <f>SUM($Q$41:Q68)</f>
        <v>-93.20815579710143</v>
      </c>
      <c r="U68" s="7" t="e">
        <f>IF(J68&lt;0,-J68,NA())</f>
        <v>#N/A</v>
      </c>
      <c r="V68" s="7" t="e">
        <f>IF(J68&gt;0,J68,NA())</f>
        <v>#N/A</v>
      </c>
    </row>
    <row spans="1:22" x14ac:dyDescent="0.3" r="69">
      <c r="A69">
        <v>28</v>
      </c>
      <c r="B69" s="6">
        <f>1/(1+$B$6)^A69</f>
        <v>0.1159137206860881</v>
      </c>
      <c r="C69">
        <f>IF(A69&lt;$B$8,1,0)</f>
        <v>0.0</v>
      </c>
      <c r="D69">
        <f>IF(AND(A69&gt;=$B$8,A69&lt;$B$8+$B$7),1,0)</f>
        <v>0.0</v>
      </c>
      <c r="E69" s="7">
        <f>C69*$B$9/$B$8</f>
        <v>0.0</v>
      </c>
      <c r="F69" s="12">
        <f>D69*$B$14</f>
        <v>0.0</v>
      </c>
      <c r="G69" s="7">
        <f>F69*($B$13+$B$19*Inputs!$D$147)/1000</f>
        <v>0.0</v>
      </c>
      <c r="H69" s="7">
        <f>$B$5*G69</f>
        <v>0.0</v>
      </c>
      <c r="I69" s="7">
        <f>D69*$B$16*$B$9</f>
        <v>0.0</v>
      </c>
      <c r="J69" s="7">
        <f>G69-H69-E69-I69</f>
        <v>0.0</v>
      </c>
      <c r="K69" s="7">
        <f>J69*B69</f>
        <v>0.0</v>
      </c>
      <c r="L69" s="7">
        <f>IF(AND(A69&gt;=$B$8,A69&lt;$B$8+$B$18),$B$9/$B$18,0)</f>
        <v>0.0</v>
      </c>
      <c r="M69" s="7">
        <f>G69-H69-L69</f>
        <v>0.0</v>
      </c>
      <c r="N69" s="7">
        <f>SUM($M$41:M69)</f>
        <v>-93.20815579710143</v>
      </c>
      <c r="O69" s="7">
        <f>$B$17*MAX(0,N69)</f>
        <v>0.0</v>
      </c>
      <c r="P69" s="7">
        <f>MAX(0,O69-O68)</f>
        <v>0.0</v>
      </c>
      <c r="Q69" s="7">
        <f>J69-P69</f>
        <v>0.0</v>
      </c>
      <c r="R69" s="7">
        <f>Q69*B69</f>
        <v>0.0</v>
      </c>
      <c r="S69" s="7">
        <f>SUM($Q$41:Q69)</f>
        <v>-93.20815579710143</v>
      </c>
      <c r="U69" s="7" t="e">
        <f>IF(J69&lt;0,-J69,NA())</f>
        <v>#N/A</v>
      </c>
      <c r="V69" s="7" t="e">
        <f>IF(J69&gt;0,J69,NA())</f>
        <v>#N/A</v>
      </c>
    </row>
    <row spans="1:22" x14ac:dyDescent="0.3" r="70">
      <c r="A70">
        <v>29</v>
      </c>
      <c r="B70" s="6">
        <f>1/(1+$B$6)^A70</f>
        <v>0.10732751915378527</v>
      </c>
      <c r="C70">
        <f>IF(A70&lt;$B$8,1,0)</f>
        <v>0.0</v>
      </c>
      <c r="D70">
        <f>IF(AND(A70&gt;=$B$8,A70&lt;$B$8+$B$7),1,0)</f>
        <v>0.0</v>
      </c>
      <c r="E70" s="7">
        <f>C70*$B$9/$B$8</f>
        <v>0.0</v>
      </c>
      <c r="F70" s="12">
        <f>D70*$B$14</f>
        <v>0.0</v>
      </c>
      <c r="G70" s="7">
        <f>F70*($B$13+$B$19*Inputs!$D$147)/1000</f>
        <v>0.0</v>
      </c>
      <c r="H70" s="7">
        <f>$B$5*G70</f>
        <v>0.0</v>
      </c>
      <c r="I70" s="7">
        <f>D70*$B$16*$B$9</f>
        <v>0.0</v>
      </c>
      <c r="J70" s="7">
        <f>G70-H70-E70-I70</f>
        <v>0.0</v>
      </c>
      <c r="K70" s="7">
        <f>J70*B70</f>
        <v>0.0</v>
      </c>
      <c r="L70" s="7">
        <f>IF(AND(A70&gt;=$B$8,A70&lt;$B$8+$B$18),$B$9/$B$18,0)</f>
        <v>0.0</v>
      </c>
      <c r="M70" s="7">
        <f>G70-H70-L70</f>
        <v>0.0</v>
      </c>
      <c r="N70" s="7">
        <f>SUM($M$41:M70)</f>
        <v>-93.20815579710143</v>
      </c>
      <c r="O70" s="7">
        <f>$B$17*MAX(0,N70)</f>
        <v>0.0</v>
      </c>
      <c r="P70" s="7">
        <f>MAX(0,O70-O69)</f>
        <v>0.0</v>
      </c>
      <c r="Q70" s="7">
        <f>J70-P70</f>
        <v>0.0</v>
      </c>
      <c r="R70" s="7">
        <f>Q70*B70</f>
        <v>0.0</v>
      </c>
      <c r="S70" s="7">
        <f>SUM($Q$41:Q70)</f>
        <v>-93.20815579710143</v>
      </c>
      <c r="U70" s="7" t="e">
        <f>IF(J70&lt;0,-J70,NA())</f>
        <v>#N/A</v>
      </c>
      <c r="V70" s="7" t="e">
        <f>IF(J70&gt;0,J70,NA())</f>
        <v>#N/A</v>
      </c>
    </row>
    <row spans="1:22" x14ac:dyDescent="0.3" r="71">
      <c r="A71">
        <v>30</v>
      </c>
      <c r="B71" s="6">
        <f>1/(1+$B$6)^A71</f>
        <v>0.09937733254980118</v>
      </c>
      <c r="C71">
        <f>IF(A71&lt;$B$8,1,0)</f>
        <v>0.0</v>
      </c>
      <c r="D71">
        <f>IF(AND(A71&gt;=$B$8,A71&lt;$B$8+$B$7),1,0)</f>
        <v>0.0</v>
      </c>
      <c r="E71" s="7">
        <f>C71*$B$9/$B$8</f>
        <v>0.0</v>
      </c>
      <c r="F71" s="12">
        <f>D71*$B$14</f>
        <v>0.0</v>
      </c>
      <c r="G71" s="7">
        <f>F71*($B$13+$B$19*Inputs!$D$147)/1000</f>
        <v>0.0</v>
      </c>
      <c r="H71" s="7">
        <f>$B$5*G71</f>
        <v>0.0</v>
      </c>
      <c r="I71" s="7">
        <f>D71*$B$16*$B$9</f>
        <v>0.0</v>
      </c>
      <c r="J71" s="7">
        <f>G71-H71-E71-I71</f>
        <v>0.0</v>
      </c>
      <c r="K71" s="7">
        <f>J71*B71</f>
        <v>0.0</v>
      </c>
      <c r="L71" s="7">
        <f>IF(AND(A71&gt;=$B$8,A71&lt;$B$8+$B$18),$B$9/$B$18,0)</f>
        <v>0.0</v>
      </c>
      <c r="M71" s="7">
        <f>G71-H71-L71</f>
        <v>0.0</v>
      </c>
      <c r="N71" s="7">
        <f>SUM($M$41:M71)</f>
        <v>-93.20815579710143</v>
      </c>
      <c r="O71" s="7">
        <f>$B$17*MAX(0,N71)</f>
        <v>0.0</v>
      </c>
      <c r="P71" s="7">
        <f>MAX(0,O71-O70)</f>
        <v>0.0</v>
      </c>
      <c r="Q71" s="7">
        <f>J71-P71</f>
        <v>0.0</v>
      </c>
      <c r="R71" s="7">
        <f>Q71*B71</f>
        <v>0.0</v>
      </c>
      <c r="S71" s="7">
        <f>SUM($Q$41:Q71)</f>
        <v>-93.20815579710143</v>
      </c>
      <c r="U71" s="7" t="e">
        <f>IF(J71&lt;0,-J71,NA())</f>
        <v>#N/A</v>
      </c>
      <c r="V71" s="7" t="e">
        <f>IF(J71&gt;0,J71,NA())</f>
        <v>#N/A</v>
      </c>
    </row>
    <row spans="1:22" x14ac:dyDescent="0.3" r="72">
      <c r="A72">
        <v>31</v>
      </c>
      <c r="B72" s="6">
        <f>1/(1+$B$6)^A72</f>
        <v>0.0920160486572233</v>
      </c>
      <c r="C72">
        <f>IF(A72&lt;$B$8,1,0)</f>
        <v>0.0</v>
      </c>
      <c r="D72">
        <f>IF(AND(A72&gt;=$B$8,A72&lt;$B$8+$B$7),1,0)</f>
        <v>0.0</v>
      </c>
      <c r="E72" s="7">
        <f>C72*$B$9/$B$8</f>
        <v>0.0</v>
      </c>
      <c r="F72" s="12">
        <f>D72*$B$14</f>
        <v>0.0</v>
      </c>
      <c r="G72" s="7">
        <f>F72*($B$13+$B$19*Inputs!$D$147)/1000</f>
        <v>0.0</v>
      </c>
      <c r="H72" s="7">
        <f>$B$5*G72</f>
        <v>0.0</v>
      </c>
      <c r="I72" s="7">
        <f>D72*$B$16*$B$9</f>
        <v>0.0</v>
      </c>
      <c r="J72" s="7">
        <f>G72-H72-E72-I72</f>
        <v>0.0</v>
      </c>
      <c r="K72" s="7">
        <f>J72*B72</f>
        <v>0.0</v>
      </c>
      <c r="L72" s="7">
        <f>IF(AND(A72&gt;=$B$8,A72&lt;$B$8+$B$18),$B$9/$B$18,0)</f>
        <v>0.0</v>
      </c>
      <c r="M72" s="7">
        <f>G72-H72-L72</f>
        <v>0.0</v>
      </c>
      <c r="N72" s="7">
        <f>SUM($M$41:M72)</f>
        <v>-93.20815579710143</v>
      </c>
      <c r="O72" s="7">
        <f>$B$17*MAX(0,N72)</f>
        <v>0.0</v>
      </c>
      <c r="P72" s="7">
        <f>MAX(0,O72-O71)</f>
        <v>0.0</v>
      </c>
      <c r="Q72" s="7">
        <f>J72-P72</f>
        <v>0.0</v>
      </c>
      <c r="R72" s="7">
        <f>Q72*B72</f>
        <v>0.0</v>
      </c>
      <c r="S72" s="7">
        <f>SUM($Q$41:Q72)</f>
        <v>-93.20815579710143</v>
      </c>
      <c r="U72" s="7" t="e">
        <f>IF(J72&lt;0,-J72,NA())</f>
        <v>#N/A</v>
      </c>
      <c r="V72" s="7" t="e">
        <f>IF(J72&gt;0,J72,NA())</f>
        <v>#N/A</v>
      </c>
    </row>
    <row spans="1:22" x14ac:dyDescent="0.3" r="73">
      <c r="A73">
        <v>32</v>
      </c>
      <c r="B73" s="6">
        <f>1/(1+$B$6)^A73</f>
        <v>0.08520004505298454</v>
      </c>
      <c r="C73">
        <f>IF(A73&lt;$B$8,1,0)</f>
        <v>0.0</v>
      </c>
      <c r="D73">
        <f>IF(AND(A73&gt;=$B$8,A73&lt;$B$8+$B$7),1,0)</f>
        <v>0.0</v>
      </c>
      <c r="E73" s="7">
        <f>C73*$B$9/$B$8</f>
        <v>0.0</v>
      </c>
      <c r="F73" s="12">
        <f>D73*$B$14</f>
        <v>0.0</v>
      </c>
      <c r="G73" s="7">
        <f>F73*($B$13+$B$19*Inputs!$D$147)/1000</f>
        <v>0.0</v>
      </c>
      <c r="H73" s="7">
        <f>$B$5*G73</f>
        <v>0.0</v>
      </c>
      <c r="I73" s="7">
        <f>D73*$B$16*$B$9</f>
        <v>0.0</v>
      </c>
      <c r="J73" s="7">
        <f>G73-H73-E73-I73</f>
        <v>0.0</v>
      </c>
      <c r="K73" s="7">
        <f>J73*B73</f>
        <v>0.0</v>
      </c>
      <c r="L73" s="7">
        <f>IF(AND(A73&gt;=$B$8,A73&lt;$B$8+$B$18),$B$9/$B$18,0)</f>
        <v>0.0</v>
      </c>
      <c r="M73" s="7">
        <f>G73-H73-L73</f>
        <v>0.0</v>
      </c>
      <c r="N73" s="7">
        <f>SUM($M$41:M73)</f>
        <v>-93.20815579710143</v>
      </c>
      <c r="O73" s="7">
        <f>$B$17*MAX(0,N73)</f>
        <v>0.0</v>
      </c>
      <c r="P73" s="7">
        <f>MAX(0,O73-O72)</f>
        <v>0.0</v>
      </c>
      <c r="Q73" s="7">
        <f>J73-P73</f>
        <v>0.0</v>
      </c>
      <c r="R73" s="7">
        <f>Q73*B73</f>
        <v>0.0</v>
      </c>
      <c r="S73" s="7">
        <f>SUM($Q$41:Q73)</f>
        <v>-93.20815579710143</v>
      </c>
      <c r="U73" s="7" t="e">
        <f>IF(J73&lt;0,-J73,NA())</f>
        <v>#N/A</v>
      </c>
      <c r="V73" s="7" t="e">
        <f>IF(J73&gt;0,J73,NA())</f>
        <v>#N/A</v>
      </c>
    </row>
    <row spans="1:22" x14ac:dyDescent="0.3" r="74">
      <c r="A74">
        <v>33</v>
      </c>
      <c r="B74" s="6">
        <f>1/(1+$B$6)^A74</f>
        <v>0.07888893060461531</v>
      </c>
      <c r="C74">
        <f>IF(A74&lt;$B$8,1,0)</f>
        <v>0.0</v>
      </c>
      <c r="D74">
        <f>IF(AND(A74&gt;=$B$8,A74&lt;$B$8+$B$7),1,0)</f>
        <v>0.0</v>
      </c>
      <c r="E74" s="7">
        <f>C74*$B$9/$B$8</f>
        <v>0.0</v>
      </c>
      <c r="F74" s="12">
        <f>D74*$B$14</f>
        <v>0.0</v>
      </c>
      <c r="G74" s="7">
        <f>F74*($B$13+$B$19*Inputs!$D$147)/1000</f>
        <v>0.0</v>
      </c>
      <c r="H74" s="7">
        <f>$B$5*G74</f>
        <v>0.0</v>
      </c>
      <c r="I74" s="7">
        <f>D74*$B$16*$B$9</f>
        <v>0.0</v>
      </c>
      <c r="J74" s="7">
        <f>G74-H74-E74-I74</f>
        <v>0.0</v>
      </c>
      <c r="K74" s="7">
        <f>J74*B74</f>
        <v>0.0</v>
      </c>
      <c r="L74" s="7">
        <f>IF(AND(A74&gt;=$B$8,A74&lt;$B$8+$B$18),$B$9/$B$18,0)</f>
        <v>0.0</v>
      </c>
      <c r="M74" s="7">
        <f>G74-H74-L74</f>
        <v>0.0</v>
      </c>
      <c r="N74" s="7">
        <f>SUM($M$41:M74)</f>
        <v>-93.20815579710143</v>
      </c>
      <c r="O74" s="7">
        <f>$B$17*MAX(0,N74)</f>
        <v>0.0</v>
      </c>
      <c r="P74" s="7">
        <f>MAX(0,O74-O73)</f>
        <v>0.0</v>
      </c>
      <c r="Q74" s="7">
        <f>J74-P74</f>
        <v>0.0</v>
      </c>
      <c r="R74" s="7">
        <f>Q74*B74</f>
        <v>0.0</v>
      </c>
      <c r="S74" s="7">
        <f>SUM($Q$41:Q74)</f>
        <v>-93.20815579710143</v>
      </c>
      <c r="U74" s="7" t="e">
        <f>IF(J74&lt;0,-J74,NA())</f>
        <v>#N/A</v>
      </c>
      <c r="V74" s="7" t="e">
        <f>IF(J74&gt;0,J74,NA())</f>
        <v>#N/A</v>
      </c>
    </row>
    <row spans="1:22" x14ac:dyDescent="0.3" r="75">
      <c r="A75">
        <v>34</v>
      </c>
      <c r="B75" s="6">
        <f>1/(1+$B$6)^A75</f>
        <v>0.07304530611538454</v>
      </c>
      <c r="C75">
        <f>IF(A75&lt;$B$8,1,0)</f>
        <v>0.0</v>
      </c>
      <c r="D75">
        <f>IF(AND(A75&gt;=$B$8,A75&lt;$B$8+$B$7),1,0)</f>
        <v>0.0</v>
      </c>
      <c r="E75" s="7">
        <f>C75*$B$9/$B$8</f>
        <v>0.0</v>
      </c>
      <c r="F75" s="12">
        <f>D75*$B$14</f>
        <v>0.0</v>
      </c>
      <c r="G75" s="7">
        <f>F75*($B$13+$B$19*Inputs!$D$147)/1000</f>
        <v>0.0</v>
      </c>
      <c r="H75" s="7">
        <f>$B$5*G75</f>
        <v>0.0</v>
      </c>
      <c r="I75" s="7">
        <f>D75*$B$16*$B$9</f>
        <v>0.0</v>
      </c>
      <c r="J75" s="7">
        <f>G75-H75-E75-I75</f>
        <v>0.0</v>
      </c>
      <c r="K75" s="7">
        <f>J75*B75</f>
        <v>0.0</v>
      </c>
      <c r="L75" s="7">
        <f>IF(AND(A75&gt;=$B$8,A75&lt;$B$8+$B$18),$B$9/$B$18,0)</f>
        <v>0.0</v>
      </c>
      <c r="M75" s="7">
        <f>G75-H75-L75</f>
        <v>0.0</v>
      </c>
      <c r="N75" s="7">
        <f>SUM($M$41:M75)</f>
        <v>-93.20815579710143</v>
      </c>
      <c r="O75" s="7">
        <f>$B$17*MAX(0,N75)</f>
        <v>0.0</v>
      </c>
      <c r="P75" s="7">
        <f>MAX(0,O75-O74)</f>
        <v>0.0</v>
      </c>
      <c r="Q75" s="7">
        <f>J75-P75</f>
        <v>0.0</v>
      </c>
      <c r="R75" s="7">
        <f>Q75*B75</f>
        <v>0.0</v>
      </c>
      <c r="S75" s="7">
        <f>SUM($Q$41:Q75)</f>
        <v>-93.20815579710143</v>
      </c>
      <c r="U75" s="7" t="e">
        <f>IF(J75&lt;0,-J75,NA())</f>
        <v>#N/A</v>
      </c>
      <c r="V75" s="7" t="e">
        <f>IF(J75&gt;0,J75,NA())</f>
        <v>#N/A</v>
      </c>
    </row>
    <row spans="1:22" x14ac:dyDescent="0.3" r="76">
      <c r="A76">
        <v>35</v>
      </c>
      <c r="B76" s="6">
        <f>1/(1+$B$6)^A76</f>
        <v>0.06763454269943012</v>
      </c>
      <c r="C76">
        <f>IF(A76&lt;$B$8,1,0)</f>
        <v>0.0</v>
      </c>
      <c r="D76">
        <f>IF(AND(A76&gt;=$B$8,A76&lt;$B$8+$B$7),1,0)</f>
        <v>0.0</v>
      </c>
      <c r="E76" s="7">
        <f>C76*$B$9/$B$8</f>
        <v>0.0</v>
      </c>
      <c r="F76" s="12">
        <f>D76*$B$14</f>
        <v>0.0</v>
      </c>
      <c r="G76" s="7">
        <f>F76*($B$13+$B$19*Inputs!$D$147)/1000</f>
        <v>0.0</v>
      </c>
      <c r="H76" s="7">
        <f>$B$5*G76</f>
        <v>0.0</v>
      </c>
      <c r="I76" s="7">
        <f>D76*$B$16*$B$9</f>
        <v>0.0</v>
      </c>
      <c r="J76" s="7">
        <f>G76-H76-E76-I76</f>
        <v>0.0</v>
      </c>
      <c r="K76" s="7">
        <f>J76*B76</f>
        <v>0.0</v>
      </c>
      <c r="L76" s="7">
        <f>IF(AND(A76&gt;=$B$8,A76&lt;$B$8+$B$18),$B$9/$B$18,0)</f>
        <v>0.0</v>
      </c>
      <c r="M76" s="7">
        <f>G76-H76-L76</f>
        <v>0.0</v>
      </c>
      <c r="N76" s="7">
        <f>SUM($M$41:M76)</f>
        <v>-93.20815579710143</v>
      </c>
      <c r="O76" s="7">
        <f>$B$17*MAX(0,N76)</f>
        <v>0.0</v>
      </c>
      <c r="P76" s="7">
        <f>MAX(0,O76-O75)</f>
        <v>0.0</v>
      </c>
      <c r="Q76" s="7">
        <f>J76-P76</f>
        <v>0.0</v>
      </c>
      <c r="R76" s="7">
        <f>Q76*B76</f>
        <v>0.0</v>
      </c>
      <c r="S76" s="7">
        <f>SUM($Q$41:Q76)</f>
        <v>-93.20815579710143</v>
      </c>
      <c r="U76" s="7" t="e">
        <f>IF(J76&lt;0,-J76,NA())</f>
        <v>#N/A</v>
      </c>
      <c r="V76" s="7" t="e">
        <f>IF(J76&gt;0,J76,NA())</f>
        <v>#N/A</v>
      </c>
    </row>
    <row spans="1:22" x14ac:dyDescent="0.3" r="77">
      <c r="A77">
        <v>36</v>
      </c>
      <c r="B77" s="6">
        <f>1/(1+$B$6)^A77</f>
        <v>0.0626245765735464</v>
      </c>
      <c r="C77">
        <f>IF(A77&lt;$B$8,1,0)</f>
        <v>0.0</v>
      </c>
      <c r="D77">
        <f>IF(AND(A77&gt;=$B$8,A77&lt;$B$8+$B$7),1,0)</f>
        <v>0.0</v>
      </c>
      <c r="E77" s="7">
        <f>C77*$B$9/$B$8</f>
        <v>0.0</v>
      </c>
      <c r="F77" s="12">
        <f>D77*$B$14</f>
        <v>0.0</v>
      </c>
      <c r="G77" s="7">
        <f>F77*($B$13+$B$19*Inputs!$D$147)/1000</f>
        <v>0.0</v>
      </c>
      <c r="H77" s="7">
        <f>$B$5*G77</f>
        <v>0.0</v>
      </c>
      <c r="I77" s="7">
        <f>D77*$B$16*$B$9</f>
        <v>0.0</v>
      </c>
      <c r="J77" s="7">
        <f>G77-H77-E77-I77</f>
        <v>0.0</v>
      </c>
      <c r="K77" s="7">
        <f>J77*B77</f>
        <v>0.0</v>
      </c>
      <c r="L77" s="7">
        <f>IF(AND(A77&gt;=$B$8,A77&lt;$B$8+$B$18),$B$9/$B$18,0)</f>
        <v>0.0</v>
      </c>
      <c r="M77" s="7">
        <f>G77-H77-L77</f>
        <v>0.0</v>
      </c>
      <c r="N77" s="7">
        <f>SUM($M$41:M77)</f>
        <v>-93.20815579710143</v>
      </c>
      <c r="O77" s="7">
        <f>$B$17*MAX(0,N77)</f>
        <v>0.0</v>
      </c>
      <c r="P77" s="7">
        <f>MAX(0,O77-O76)</f>
        <v>0.0</v>
      </c>
      <c r="Q77" s="7">
        <f>J77-P77</f>
        <v>0.0</v>
      </c>
      <c r="R77" s="7">
        <f>Q77*B77</f>
        <v>0.0</v>
      </c>
      <c r="S77" s="7">
        <f>SUM($Q$41:Q77)</f>
        <v>-93.20815579710143</v>
      </c>
      <c r="U77" s="7" t="e">
        <f>IF(J77&lt;0,-J77,NA())</f>
        <v>#N/A</v>
      </c>
      <c r="V77" s="7" t="e">
        <f>IF(J77&gt;0,J77,NA())</f>
        <v>#N/A</v>
      </c>
    </row>
    <row spans="1:22" x14ac:dyDescent="0.3" r="78">
      <c r="A78">
        <v>37</v>
      </c>
      <c r="B78" s="6">
        <f>1/(1+$B$6)^A78</f>
        <v>0.05798571904958</v>
      </c>
      <c r="C78">
        <f>IF(A78&lt;$B$8,1,0)</f>
        <v>0.0</v>
      </c>
      <c r="D78">
        <f>IF(AND(A78&gt;=$B$8,A78&lt;$B$8+$B$7),1,0)</f>
        <v>0.0</v>
      </c>
      <c r="E78" s="7">
        <f>C78*$B$9/$B$8</f>
        <v>0.0</v>
      </c>
      <c r="F78" s="12">
        <f>D78*$B$14</f>
        <v>0.0</v>
      </c>
      <c r="G78" s="7">
        <f>F78*($B$13+$B$19*Inputs!$D$147)/1000</f>
        <v>0.0</v>
      </c>
      <c r="H78" s="7">
        <f>$B$5*G78</f>
        <v>0.0</v>
      </c>
      <c r="I78" s="7">
        <f>D78*$B$16*$B$9</f>
        <v>0.0</v>
      </c>
      <c r="J78" s="7">
        <f>G78-H78-E78-I78</f>
        <v>0.0</v>
      </c>
      <c r="K78" s="7">
        <f>J78*B78</f>
        <v>0.0</v>
      </c>
      <c r="L78" s="7">
        <f>IF(AND(A78&gt;=$B$8,A78&lt;$B$8+$B$18),$B$9/$B$18,0)</f>
        <v>0.0</v>
      </c>
      <c r="M78" s="7">
        <f>G78-H78-L78</f>
        <v>0.0</v>
      </c>
      <c r="N78" s="7">
        <f>SUM($M$41:M78)</f>
        <v>-93.20815579710143</v>
      </c>
      <c r="O78" s="7">
        <f>$B$17*MAX(0,N78)</f>
        <v>0.0</v>
      </c>
      <c r="P78" s="7">
        <f>MAX(0,O78-O77)</f>
        <v>0.0</v>
      </c>
      <c r="Q78" s="7">
        <f>J78-P78</f>
        <v>0.0</v>
      </c>
      <c r="R78" s="7">
        <f>Q78*B78</f>
        <v>0.0</v>
      </c>
      <c r="S78" s="7">
        <f>SUM($Q$41:Q78)</f>
        <v>-93.20815579710143</v>
      </c>
      <c r="U78" s="7" t="e">
        <f>IF(J78&lt;0,-J78,NA())</f>
        <v>#N/A</v>
      </c>
      <c r="V78" s="7" t="e">
        <f>IF(J78&gt;0,J78,NA())</f>
        <v>#N/A</v>
      </c>
    </row>
    <row spans="1:22" x14ac:dyDescent="0.3" r="79">
      <c r="A79">
        <v>38</v>
      </c>
      <c r="B79" s="6">
        <f>1/(1+$B$6)^A79</f>
        <v>0.053690480601462955</v>
      </c>
      <c r="C79">
        <f>IF(A79&lt;$B$8,1,0)</f>
        <v>0.0</v>
      </c>
      <c r="D79">
        <f>IF(AND(A79&gt;=$B$8,A79&lt;$B$8+$B$7),1,0)</f>
        <v>0.0</v>
      </c>
      <c r="E79" s="7">
        <f>C79*$B$9/$B$8</f>
        <v>0.0</v>
      </c>
      <c r="F79" s="12">
        <f>D79*$B$14</f>
        <v>0.0</v>
      </c>
      <c r="G79" s="7">
        <f>F79*($B$13+$B$19*Inputs!$D$147)/1000</f>
        <v>0.0</v>
      </c>
      <c r="H79" s="7">
        <f>$B$5*G79</f>
        <v>0.0</v>
      </c>
      <c r="I79" s="7">
        <f>D79*$B$16*$B$9</f>
        <v>0.0</v>
      </c>
      <c r="J79" s="7">
        <f>G79-H79-E79-I79</f>
        <v>0.0</v>
      </c>
      <c r="K79" s="7">
        <f>J79*B79</f>
        <v>0.0</v>
      </c>
      <c r="L79" s="7">
        <f>IF(AND(A79&gt;=$B$8,A79&lt;$B$8+$B$18),$B$9/$B$18,0)</f>
        <v>0.0</v>
      </c>
      <c r="M79" s="7">
        <f>G79-H79-L79</f>
        <v>0.0</v>
      </c>
      <c r="N79" s="7">
        <f>SUM($M$41:M79)</f>
        <v>-93.20815579710143</v>
      </c>
      <c r="O79" s="7">
        <f>$B$17*MAX(0,N79)</f>
        <v>0.0</v>
      </c>
      <c r="P79" s="7">
        <f>MAX(0,O79-O78)</f>
        <v>0.0</v>
      </c>
      <c r="Q79" s="7">
        <f>J79-P79</f>
        <v>0.0</v>
      </c>
      <c r="R79" s="7">
        <f>Q79*B79</f>
        <v>0.0</v>
      </c>
      <c r="S79" s="7">
        <f>SUM($Q$41:Q79)</f>
        <v>-93.20815579710143</v>
      </c>
      <c r="U79" s="7" t="e">
        <f>IF(J79&lt;0,-J79,NA())</f>
        <v>#N/A</v>
      </c>
      <c r="V79" s="7" t="e">
        <f>IF(J79&gt;0,J79,NA())</f>
        <v>#N/A</v>
      </c>
    </row>
    <row spans="1:22" x14ac:dyDescent="0.3" r="80">
      <c r="A80">
        <v>39</v>
      </c>
      <c r="B80" s="6">
        <f>1/(1+$B$6)^A80</f>
        <v>0.04971340796431756</v>
      </c>
      <c r="C80">
        <f>IF(A80&lt;$B$8,1,0)</f>
        <v>0.0</v>
      </c>
      <c r="D80">
        <f>IF(AND(A80&gt;=$B$8,A80&lt;$B$8+$B$7),1,0)</f>
        <v>0.0</v>
      </c>
      <c r="E80" s="7">
        <f>C80*$B$9/$B$8</f>
        <v>0.0</v>
      </c>
      <c r="F80" s="12">
        <f>D80*$B$14</f>
        <v>0.0</v>
      </c>
      <c r="G80" s="7">
        <f>F80*($B$13+$B$19*Inputs!$D$147)/1000</f>
        <v>0.0</v>
      </c>
      <c r="H80" s="7">
        <f>$B$5*G80</f>
        <v>0.0</v>
      </c>
      <c r="I80" s="7">
        <f>D80*$B$16*$B$9</f>
        <v>0.0</v>
      </c>
      <c r="J80" s="7">
        <f>G80-H80-E80-I80</f>
        <v>0.0</v>
      </c>
      <c r="K80" s="7">
        <f>J80*B80</f>
        <v>0.0</v>
      </c>
      <c r="L80" s="7">
        <f>IF(AND(A80&gt;=$B$8,A80&lt;$B$8+$B$18),$B$9/$B$18,0)</f>
        <v>0.0</v>
      </c>
      <c r="M80" s="7">
        <f>G80-H80-L80</f>
        <v>0.0</v>
      </c>
      <c r="N80" s="7">
        <f>SUM($M$41:M80)</f>
        <v>-93.20815579710143</v>
      </c>
      <c r="O80" s="7">
        <f>$B$17*MAX(0,N80)</f>
        <v>0.0</v>
      </c>
      <c r="P80" s="7">
        <f>MAX(0,O80-O79)</f>
        <v>0.0</v>
      </c>
      <c r="Q80" s="7">
        <f>J80-P80</f>
        <v>0.0</v>
      </c>
      <c r="R80" s="7">
        <f>Q80*B80</f>
        <v>0.0</v>
      </c>
      <c r="S80" s="7">
        <f>SUM($Q$41:Q80)</f>
        <v>-93.20815579710143</v>
      </c>
      <c r="U80" s="7" t="e">
        <f>IF(J80&lt;0,-J80,NA())</f>
        <v>#N/A</v>
      </c>
      <c r="V80" s="7" t="e">
        <f>IF(J80&gt;0,J80,NA())</f>
        <v>#N/A</v>
      </c>
    </row>
    <row spans="1:22" x14ac:dyDescent="0.3" r="81">
      <c r="A81">
        <v>40</v>
      </c>
      <c r="B81" s="6">
        <f>1/(1+$B$6)^A81</f>
        <v>0.04603093330029402</v>
      </c>
      <c r="C81">
        <f>IF(A81&lt;$B$8,1,0)</f>
        <v>0.0</v>
      </c>
      <c r="D81">
        <f>IF(AND(A81&gt;=$B$8,A81&lt;$B$8+$B$7),1,0)</f>
        <v>0.0</v>
      </c>
      <c r="E81" s="7">
        <f>C81*$B$9/$B$8</f>
        <v>0.0</v>
      </c>
      <c r="F81" s="12">
        <f>D81*$B$14</f>
        <v>0.0</v>
      </c>
      <c r="G81" s="7">
        <f>F81*($B$13+$B$19*Inputs!$D$147)/1000</f>
        <v>0.0</v>
      </c>
      <c r="H81" s="7">
        <f>$B$5*G81</f>
        <v>0.0</v>
      </c>
      <c r="I81" s="7">
        <f>D81*$B$16*$B$9</f>
        <v>0.0</v>
      </c>
      <c r="J81" s="7">
        <f>G81-H81-E81-I81</f>
        <v>0.0</v>
      </c>
      <c r="K81" s="7">
        <f>J81*B81</f>
        <v>0.0</v>
      </c>
      <c r="L81" s="7">
        <f>IF(AND(A81&gt;=$B$8,A81&lt;$B$8+$B$18),$B$9/$B$18,0)</f>
        <v>0.0</v>
      </c>
      <c r="M81" s="7">
        <f>G81-H81-L81</f>
        <v>0.0</v>
      </c>
      <c r="N81" s="7">
        <f>SUM($M$41:M81)</f>
        <v>-93.20815579710143</v>
      </c>
      <c r="O81" s="7">
        <f>$B$17*MAX(0,N81)</f>
        <v>0.0</v>
      </c>
      <c r="P81" s="7">
        <f>MAX(0,O81-O80)</f>
        <v>0.0</v>
      </c>
      <c r="Q81" s="7">
        <f>J81-P81</f>
        <v>0.0</v>
      </c>
      <c r="R81" s="7">
        <f>Q81*B81</f>
        <v>0.0</v>
      </c>
      <c r="S81" s="7">
        <f>SUM($Q$41:Q81)</f>
        <v>-93.20815579710143</v>
      </c>
      <c r="U81" s="7" t="e">
        <f>IF(J81&lt;0,-J81,NA())</f>
        <v>#N/A</v>
      </c>
      <c r="V81" s="7" t="e">
        <f>IF(J81&gt;0,J81,NA())</f>
        <v>#N/A</v>
      </c>
    </row>
    <row spans="1:22" x14ac:dyDescent="0.3" r="82">
      <c r="A82">
        <v>41</v>
      </c>
      <c r="B82" s="6">
        <f>1/(1+$B$6)^A82</f>
        <v>0.04262123453730928</v>
      </c>
      <c r="C82">
        <f>IF(A82&lt;$B$8,1,0)</f>
        <v>0.0</v>
      </c>
      <c r="D82">
        <f>IF(AND(A82&gt;=$B$8,A82&lt;$B$8+$B$7),1,0)</f>
        <v>0.0</v>
      </c>
      <c r="E82" s="7">
        <f>C82*$B$9/$B$8</f>
        <v>0.0</v>
      </c>
      <c r="F82" s="12">
        <f>D82*$B$14</f>
        <v>0.0</v>
      </c>
      <c r="G82" s="7">
        <f>F82*($B$13+$B$19*Inputs!$D$147)/1000</f>
        <v>0.0</v>
      </c>
      <c r="H82" s="7">
        <f>$B$5*G82</f>
        <v>0.0</v>
      </c>
      <c r="I82" s="7">
        <f>D82*$B$16*$B$9</f>
        <v>0.0</v>
      </c>
      <c r="J82" s="7">
        <f>G82-H82-E82-I82</f>
        <v>0.0</v>
      </c>
      <c r="K82" s="7">
        <f>J82*B82</f>
        <v>0.0</v>
      </c>
      <c r="L82" s="7">
        <f>IF(AND(A82&gt;=$B$8,A82&lt;$B$8+$B$18),$B$9/$B$18,0)</f>
        <v>0.0</v>
      </c>
      <c r="M82" s="7">
        <f>G82-H82-L82</f>
        <v>0.0</v>
      </c>
      <c r="N82" s="7">
        <f>SUM($M$41:M82)</f>
        <v>-93.20815579710143</v>
      </c>
      <c r="O82" s="7">
        <f>$B$17*MAX(0,N82)</f>
        <v>0.0</v>
      </c>
      <c r="P82" s="7">
        <f>MAX(0,O82-O81)</f>
        <v>0.0</v>
      </c>
      <c r="Q82" s="7">
        <f>J82-P82</f>
        <v>0.0</v>
      </c>
      <c r="R82" s="7">
        <f>Q82*B82</f>
        <v>0.0</v>
      </c>
      <c r="S82" s="7">
        <f>SUM($Q$41:Q82)</f>
        <v>-93.20815579710143</v>
      </c>
      <c r="U82" s="7" t="e">
        <f>IF(J82&lt;0,-J82,NA())</f>
        <v>#N/A</v>
      </c>
      <c r="V82" s="7" t="e">
        <f>IF(J82&gt;0,J82,NA())</f>
        <v>#N/A</v>
      </c>
    </row>
    <row spans="1:22" x14ac:dyDescent="0.3" r="83">
      <c r="A83">
        <v>42</v>
      </c>
      <c r="B83" s="6">
        <f>1/(1+$B$6)^A83</f>
        <v>0.03946410605306415</v>
      </c>
      <c r="C83">
        <f>IF(A83&lt;$B$8,1,0)</f>
        <v>0.0</v>
      </c>
      <c r="D83">
        <f>IF(AND(A83&gt;=$B$8,A83&lt;$B$8+$B$7),1,0)</f>
        <v>0.0</v>
      </c>
      <c r="E83" s="7">
        <f>C83*$B$9/$B$8</f>
        <v>0.0</v>
      </c>
      <c r="F83" s="12">
        <f>D83*$B$14</f>
        <v>0.0</v>
      </c>
      <c r="G83" s="7">
        <f>F83*($B$13+$B$19*Inputs!$D$147)/1000</f>
        <v>0.0</v>
      </c>
      <c r="H83" s="7">
        <f>$B$5*G83</f>
        <v>0.0</v>
      </c>
      <c r="I83" s="7">
        <f>D83*$B$16*$B$9</f>
        <v>0.0</v>
      </c>
      <c r="J83" s="7">
        <f>G83-H83-E83-I83</f>
        <v>0.0</v>
      </c>
      <c r="K83" s="7">
        <f>J83*B83</f>
        <v>0.0</v>
      </c>
      <c r="L83" s="7">
        <f>IF(AND(A83&gt;=$B$8,A83&lt;$B$8+$B$18),$B$9/$B$18,0)</f>
        <v>0.0</v>
      </c>
      <c r="M83" s="7">
        <f>G83-H83-L83</f>
        <v>0.0</v>
      </c>
      <c r="N83" s="7">
        <f>SUM($M$41:M83)</f>
        <v>-93.20815579710143</v>
      </c>
      <c r="O83" s="7">
        <f>$B$17*MAX(0,N83)</f>
        <v>0.0</v>
      </c>
      <c r="P83" s="7">
        <f>MAX(0,O83-O82)</f>
        <v>0.0</v>
      </c>
      <c r="Q83" s="7">
        <f>J83-P83</f>
        <v>0.0</v>
      </c>
      <c r="R83" s="7">
        <f>Q83*B83</f>
        <v>0.0</v>
      </c>
      <c r="S83" s="7">
        <f>SUM($Q$41:Q83)</f>
        <v>-93.20815579710143</v>
      </c>
      <c r="U83" s="7" t="e">
        <f>IF(J83&lt;0,-J83,NA())</f>
        <v>#N/A</v>
      </c>
      <c r="V83" s="7" t="e">
        <f>IF(J83&gt;0,J83,NA())</f>
        <v>#N/A</v>
      </c>
    </row>
    <row spans="1:22" x14ac:dyDescent="0.3" r="84">
      <c r="A84">
        <v>43</v>
      </c>
      <c r="B84" s="6">
        <f>1/(1+$B$6)^A84</f>
        <v>0.03654083893802236</v>
      </c>
      <c r="C84">
        <f>IF(A84&lt;$B$8,1,0)</f>
        <v>0.0</v>
      </c>
      <c r="D84">
        <f>IF(AND(A84&gt;=$B$8,A84&lt;$B$8+$B$7),1,0)</f>
        <v>0.0</v>
      </c>
      <c r="E84" s="7">
        <f>C84*$B$9/$B$8</f>
        <v>0.0</v>
      </c>
      <c r="F84" s="12">
        <f>D84*$B$14</f>
        <v>0.0</v>
      </c>
      <c r="G84" s="7">
        <f>F84*($B$13+$B$19*Inputs!$D$147)/1000</f>
        <v>0.0</v>
      </c>
      <c r="H84" s="7">
        <f>$B$5*G84</f>
        <v>0.0</v>
      </c>
      <c r="I84" s="7">
        <f>D84*$B$16*$B$9</f>
        <v>0.0</v>
      </c>
      <c r="J84" s="7">
        <f>G84-H84-E84-I84</f>
        <v>0.0</v>
      </c>
      <c r="K84" s="7">
        <f>J84*B84</f>
        <v>0.0</v>
      </c>
      <c r="L84" s="7">
        <f>IF(AND(A84&gt;=$B$8,A84&lt;$B$8+$B$18),$B$9/$B$18,0)</f>
        <v>0.0</v>
      </c>
      <c r="M84" s="7">
        <f>G84-H84-L84</f>
        <v>0.0</v>
      </c>
      <c r="N84" s="7">
        <f>SUM($M$41:M84)</f>
        <v>-93.20815579710143</v>
      </c>
      <c r="O84" s="7">
        <f>$B$17*MAX(0,N84)</f>
        <v>0.0</v>
      </c>
      <c r="P84" s="7">
        <f>MAX(0,O84-O83)</f>
        <v>0.0</v>
      </c>
      <c r="Q84" s="7">
        <f>J84-P84</f>
        <v>0.0</v>
      </c>
      <c r="R84" s="7">
        <f>Q84*B84</f>
        <v>0.0</v>
      </c>
      <c r="S84" s="7">
        <f>SUM($Q$41:Q84)</f>
        <v>-93.20815579710143</v>
      </c>
      <c r="U84" s="7" t="e">
        <f>IF(J84&lt;0,-J84,NA())</f>
        <v>#N/A</v>
      </c>
      <c r="V84" s="7" t="e">
        <f>IF(J84&gt;0,J84,NA())</f>
        <v>#N/A</v>
      </c>
    </row>
    <row spans="1:22" x14ac:dyDescent="0.3" r="85">
      <c r="A85">
        <v>44</v>
      </c>
      <c r="B85" s="6">
        <f>1/(1+$B$6)^A85</f>
        <v>0.033834110127798474</v>
      </c>
      <c r="C85">
        <f>IF(A85&lt;$B$8,1,0)</f>
        <v>0.0</v>
      </c>
      <c r="D85">
        <f>IF(AND(A85&gt;=$B$8,A85&lt;$B$8+$B$7),1,0)</f>
        <v>0.0</v>
      </c>
      <c r="E85" s="7">
        <f>C85*$B$9/$B$8</f>
        <v>0.0</v>
      </c>
      <c r="F85" s="12">
        <f>D85*$B$14</f>
        <v>0.0</v>
      </c>
      <c r="G85" s="7">
        <f>F85*($B$13+$B$19*Inputs!$D$147)/1000</f>
        <v>0.0</v>
      </c>
      <c r="H85" s="7">
        <f>$B$5*G85</f>
        <v>0.0</v>
      </c>
      <c r="I85" s="7">
        <f>D85*$B$16*$B$9</f>
        <v>0.0</v>
      </c>
      <c r="J85" s="7">
        <f>G85-H85-E85-I85</f>
        <v>0.0</v>
      </c>
      <c r="K85" s="7">
        <f>J85*B85</f>
        <v>0.0</v>
      </c>
      <c r="L85" s="7">
        <f>IF(AND(A85&gt;=$B$8,A85&lt;$B$8+$B$18),$B$9/$B$18,0)</f>
        <v>0.0</v>
      </c>
      <c r="M85" s="7">
        <f>G85-H85-L85</f>
        <v>0.0</v>
      </c>
      <c r="N85" s="7">
        <f>SUM($M$41:M85)</f>
        <v>-93.20815579710143</v>
      </c>
      <c r="O85" s="7">
        <f>$B$17*MAX(0,N85)</f>
        <v>0.0</v>
      </c>
      <c r="P85" s="7">
        <f>MAX(0,O85-O84)</f>
        <v>0.0</v>
      </c>
      <c r="Q85" s="7">
        <f>J85-P85</f>
        <v>0.0</v>
      </c>
      <c r="R85" s="7">
        <f>Q85*B85</f>
        <v>0.0</v>
      </c>
      <c r="S85" s="7">
        <f>SUM($Q$41:Q85)</f>
        <v>-93.20815579710143</v>
      </c>
      <c r="U85" s="7" t="e">
        <f>IF(J85&lt;0,-J85,NA())</f>
        <v>#N/A</v>
      </c>
      <c r="V85" s="7" t="e">
        <f>IF(J85&gt;0,J85,NA())</f>
        <v>#N/A</v>
      </c>
    </row>
    <row r="88" spans="1:1" x14ac:dyDescent="0.3">
      <c r="A88" s="1" t="s">
        <v>354</v>
      </c>
    </row>
    <row r="89" spans="1:11" ht="28" x14ac:dyDescent="0.3">
      <c r="A89" s="3" t="s">
        <v>355</v>
      </c>
      <c r="B89" s="3" t="s">
        <v>356</v>
      </c>
      <c r="C89" s="3" t="s">
        <v>357</v>
      </c>
      <c r="D89" s="3" t="s">
        <v>358</v>
      </c>
      <c r="E89" s="3" t="s">
        <v>359</v>
      </c>
      <c r="F89" s="3" t="s">
        <v>360</v>
      </c>
      <c r="G89" s="3" t="s">
        <v>361</v>
      </c>
      <c r="H89" s="3" t="s">
        <v>362</v>
      </c>
      <c r="I89" s="3" t="s">
        <v>363</v>
      </c>
      <c r="J89" s="3" t="s">
        <v>364</v>
      </c>
      <c r="K89" s="1" t="s">
        <v>365</v>
      </c>
    </row>
    <row r="90" spans="1:11" x14ac:dyDescent="0.3">
      <c r="A90" t="s">
        <v>366</v>
      </c>
      <c r="B90">
        <v>1</v>
      </c>
      <c r="C90">
        <v>1</v>
      </c>
      <c r="D90">
        <v>1</v>
      </c>
      <c r="E90">
        <v>0</v>
      </c>
      <c r="F90" s="6">
        <f>SUMPRODUCT($B$41:$B$85*($A$41:$A$85&gt;=$B$8+E90)*($A$41:$A$85&lt;$B$8+E90+$B$7))</f>
        <v>9.090877229119709</v>
      </c>
      <c r="G90" s="7">
        <f>(D90-C90*$B$5)*$B$15*F90-B90*$B$28-H90*B90*$B$9*F90</f>
        <v>-144.05101535660108</v>
      </c>
      <c r="H90" s="6">
        <f>$B$16</f>
        <v>0.0</v>
      </c>
      <c r="I90" s="7">
        <f>D90*$B$15-C90*$B$5*$B$15-B90*$B$9/$B$18</f>
        <v>-4.660407789855071</v>
      </c>
      <c r="J90" s="7">
        <f>IF($B$18&lt;$B$7,"n/a",G90-$B$17*MAX(0,I90)*F90)</f>
        <v>-144.05101535660108</v>
      </c>
      <c r="K90" t="s">
        <v>366</v>
      </c>
    </row>
    <row r="91" spans="1:11" x14ac:dyDescent="0.3">
      <c r="A91" t="s">
        <v>367</v>
      </c>
      <c r="B91">
        <v>1.05</v>
      </c>
      <c r="C91">
        <v>1</v>
      </c>
      <c r="D91">
        <v>1</v>
      </c>
      <c r="E91">
        <v>0</v>
      </c>
      <c r="F91" s="6">
        <f>SUMPRODUCT($B$41:$B$85*($A$41:$A$85&gt;=$B$8+E91)*($A$41:$A$85&lt;$B$8+E91+$B$7))</f>
        <v>9.090877229119709</v>
      </c>
      <c r="G91" s="7">
        <f>(D91-C91*$B$5)*$B$15*F91-B91*$B$28-H91*B91*$B$9*F91</f>
        <v>-153.68064498623073</v>
      </c>
      <c r="H91" s="6">
        <f>$B$16</f>
        <v>0.0</v>
      </c>
      <c r="I91" s="7">
        <f>D91*$B$15-C91*$B$5*$B$15-B91*$B$9/$B$18</f>
        <v>-5.160407789855071</v>
      </c>
      <c r="J91" s="7">
        <f>IF($B$18&lt;$B$7,"n/a",G91-$B$17*MAX(0,I91)*F91)</f>
        <v>-153.68064498623073</v>
      </c>
      <c r="K91" t="s">
        <v>367</v>
      </c>
    </row>
    <row r="92" spans="1:11" x14ac:dyDescent="0.3">
      <c r="A92" t="s">
        <v>368</v>
      </c>
      <c r="B92">
        <v>0.95</v>
      </c>
      <c r="C92">
        <v>1</v>
      </c>
      <c r="D92">
        <v>1</v>
      </c>
      <c r="E92">
        <v>0</v>
      </c>
      <c r="F92" s="6">
        <f>SUMPRODUCT($B$41:$B$85*($A$41:$A$85&gt;=$B$8+E92)*($A$41:$A$85&lt;$B$8+E92+$B$7))</f>
        <v>9.090877229119709</v>
      </c>
      <c r="G92" s="7">
        <f>(D92-C92*$B$5)*$B$15*F92-B92*$B$28-H92*B92*$B$9*F92</f>
        <v>-134.42138572697144</v>
      </c>
      <c r="H92" s="6">
        <f>$B$16</f>
        <v>0.0</v>
      </c>
      <c r="I92" s="7">
        <f>D92*$B$15-C92*$B$5*$B$15-B92*$B$9/$B$18</f>
        <v>-4.160407789855071</v>
      </c>
      <c r="J92" s="7">
        <f>IF($B$18&lt;$B$7,"n/a",G92-$B$17*MAX(0,I92)*F92)</f>
        <v>-134.42138572697144</v>
      </c>
      <c r="K92" t="s">
        <v>368</v>
      </c>
    </row>
    <row r="93" spans="1:11" x14ac:dyDescent="0.3">
      <c r="A93" t="s">
        <v>369</v>
      </c>
      <c r="B93">
        <v>1.1000000000000001</v>
      </c>
      <c r="C93">
        <v>1</v>
      </c>
      <c r="D93">
        <v>1</v>
      </c>
      <c r="E93">
        <v>0</v>
      </c>
      <c r="F93" s="6">
        <f>SUMPRODUCT($B$41:$B$85*($A$41:$A$85&gt;=$B$8+E93)*($A$41:$A$85&lt;$B$8+E93+$B$7))</f>
        <v>9.090877229119709</v>
      </c>
      <c r="G93" s="7">
        <f>(D93-C93*$B$5)*$B$15*F93-B93*$B$28-H93*B93*$B$9*F93</f>
        <v>-163.31027461586035</v>
      </c>
      <c r="H93" s="6">
        <f>$B$16</f>
        <v>0.0</v>
      </c>
      <c r="I93" s="7">
        <f>D93*$B$15-C93*$B$5*$B$15-B93*$B$9/$B$18</f>
        <v>-5.660407789855073</v>
      </c>
      <c r="J93" s="7">
        <f>IF($B$18&lt;$B$7,"n/a",G93-$B$17*MAX(0,I93)*F93)</f>
        <v>-163.31027461586035</v>
      </c>
      <c r="K93" t="s">
        <v>369</v>
      </c>
    </row>
    <row r="94" spans="1:11" x14ac:dyDescent="0.3">
      <c r="A94" t="s">
        <v>370</v>
      </c>
      <c r="B94">
        <v>0.9</v>
      </c>
      <c r="C94">
        <v>1</v>
      </c>
      <c r="D94">
        <v>1</v>
      </c>
      <c r="E94">
        <v>0</v>
      </c>
      <c r="F94" s="6">
        <f>SUMPRODUCT($B$41:$B$85*($A$41:$A$85&gt;=$B$8+E94)*($A$41:$A$85&lt;$B$8+E94+$B$7))</f>
        <v>9.090877229119709</v>
      </c>
      <c r="G94" s="7">
        <f>(D94-C94*$B$5)*$B$15*F94-B94*$B$28-H94*B94*$B$9*F94</f>
        <v>-124.79175609734182</v>
      </c>
      <c r="H94" s="6">
        <f>$B$16</f>
        <v>0.0</v>
      </c>
      <c r="I94" s="7">
        <f>D94*$B$15-C94*$B$5*$B$15-B94*$B$9/$B$18</f>
        <v>-3.6604077898550713</v>
      </c>
      <c r="J94" s="7">
        <f>IF($B$18&lt;$B$7,"n/a",G94-$B$17*MAX(0,I94)*F94)</f>
        <v>-124.79175609734182</v>
      </c>
      <c r="K94" t="s">
        <v>370</v>
      </c>
    </row>
    <row r="95" spans="1:11" x14ac:dyDescent="0.3">
      <c r="A95" t="s">
        <v>371</v>
      </c>
      <c r="B95">
        <v>1.2</v>
      </c>
      <c r="C95">
        <v>1</v>
      </c>
      <c r="D95">
        <v>1</v>
      </c>
      <c r="E95">
        <v>0</v>
      </c>
      <c r="F95" s="6">
        <f>SUMPRODUCT($B$41:$B$85*($A$41:$A$85&gt;=$B$8+E95)*($A$41:$A$85&lt;$B$8+E95+$B$7))</f>
        <v>9.090877229119709</v>
      </c>
      <c r="G95" s="7">
        <f>(D95-C95*$B$5)*$B$15*F95-B95*$B$28-H95*B95*$B$9*F95</f>
        <v>-182.5695338751196</v>
      </c>
      <c r="H95" s="6">
        <f>$B$16</f>
        <v>0.0</v>
      </c>
      <c r="I95" s="7">
        <f>D95*$B$15-C95*$B$5*$B$15-B95*$B$9/$B$18</f>
        <v>-6.660407789855071</v>
      </c>
      <c r="J95" s="7">
        <f>IF($B$18&lt;$B$7,"n/a",G95-$B$17*MAX(0,I95)*F95)</f>
        <v>-182.5695338751196</v>
      </c>
      <c r="K95" t="s">
        <v>371</v>
      </c>
    </row>
    <row r="96" spans="1:11" x14ac:dyDescent="0.3">
      <c r="A96" t="s">
        <v>372</v>
      </c>
      <c r="B96">
        <v>0.8</v>
      </c>
      <c r="C96">
        <v>1</v>
      </c>
      <c r="D96">
        <v>1</v>
      </c>
      <c r="E96">
        <v>0</v>
      </c>
      <c r="F96" s="6">
        <f>SUMPRODUCT($B$41:$B$85*($A$41:$A$85&gt;=$B$8+E96)*($A$41:$A$85&lt;$B$8+E96+$B$7))</f>
        <v>9.090877229119709</v>
      </c>
      <c r="G96" s="7">
        <f>(D96-C96*$B$5)*$B$15*F96-B96*$B$28-H96*B96*$B$9*F96</f>
        <v>-105.53249683808258</v>
      </c>
      <c r="H96" s="6">
        <f>$B$16</f>
        <v>0.0</v>
      </c>
      <c r="I96" s="7">
        <f>D96*$B$15-C96*$B$5*$B$15-B96*$B$9/$B$18</f>
        <v>-2.6604077898550713</v>
      </c>
      <c r="J96" s="7">
        <f>IF($B$18&lt;$B$7,"n/a",G96-$B$17*MAX(0,I96)*F96)</f>
        <v>-105.53249683808258</v>
      </c>
      <c r="K96" t="s">
        <v>372</v>
      </c>
    </row>
    <row r="97" spans="1:11" x14ac:dyDescent="0.3">
      <c r="A97" t="s">
        <v>373</v>
      </c>
      <c r="B97">
        <v>1</v>
      </c>
      <c r="C97">
        <v>1.05</v>
      </c>
      <c r="D97">
        <v>1</v>
      </c>
      <c r="E97">
        <v>0</v>
      </c>
      <c r="F97" s="6">
        <f>SUMPRODUCT($B$41:$B$85*($A$41:$A$85&gt;=$B$8+E97)*($A$41:$A$85&lt;$B$8+E97+$B$7))</f>
        <v>9.090877229119709</v>
      </c>
      <c r="G97" s="7">
        <f>(D97-C97*$B$5)*$B$15*F97-B97*$B$28-H97*B97*$B$9*F97</f>
        <v>-152.2327970400431</v>
      </c>
      <c r="H97" s="6">
        <f>$B$16</f>
        <v>0.0</v>
      </c>
      <c r="I97" s="7">
        <f>D97*$B$15-C97*$B$5*$B$15-B97*$B$9/$B$18</f>
        <v>-5.5604069293478275</v>
      </c>
      <c r="J97" s="7">
        <f>IF($B$18&lt;$B$7,"n/a",G97-$B$17*MAX(0,I97)*F97)</f>
        <v>-152.2327970400431</v>
      </c>
      <c r="K97" t="s">
        <v>373</v>
      </c>
    </row>
    <row r="98" spans="1:11" x14ac:dyDescent="0.3">
      <c r="A98" t="s">
        <v>374</v>
      </c>
      <c r="B98">
        <v>1</v>
      </c>
      <c r="C98">
        <v>0.95</v>
      </c>
      <c r="D98">
        <v>1</v>
      </c>
      <c r="E98">
        <v>0</v>
      </c>
      <c r="F98" s="6">
        <f>SUMPRODUCT($B$41:$B$85*($A$41:$A$85&gt;=$B$8+E98)*($A$41:$A$85&lt;$B$8+E98+$B$7))</f>
        <v>9.090877229119709</v>
      </c>
      <c r="G98" s="7">
        <f>(D98-C98*$B$5)*$B$15*F98-B98*$B$28-H98*B98*$B$9*F98</f>
        <v>-135.86923367315907</v>
      </c>
      <c r="H98" s="6">
        <f>$B$16</f>
        <v>0.0</v>
      </c>
      <c r="I98" s="7">
        <f>D98*$B$15-C98*$B$5*$B$15-B98*$B$9/$B$18</f>
        <v>-3.7604086503623186</v>
      </c>
      <c r="J98" s="7">
        <f>IF($B$18&lt;$B$7,"n/a",G98-$B$17*MAX(0,I98)*F98)</f>
        <v>-135.86923367315907</v>
      </c>
      <c r="K98" t="s">
        <v>374</v>
      </c>
    </row>
    <row r="99" spans="1:11" x14ac:dyDescent="0.3">
      <c r="A99" t="s">
        <v>375</v>
      </c>
      <c r="B99">
        <v>1</v>
      </c>
      <c r="C99">
        <v>1.1000000000000001</v>
      </c>
      <c r="D99">
        <v>1</v>
      </c>
      <c r="E99">
        <v>0</v>
      </c>
      <c r="F99" s="6">
        <f>SUMPRODUCT($B$41:$B$85*($A$41:$A$85&gt;=$B$8+E99)*($A$41:$A$85&lt;$B$8+E99+$B$7))</f>
        <v>9.090877229119709</v>
      </c>
      <c r="G99" s="7">
        <f>(D99-C99*$B$5)*$B$15*F99-B99*$B$28-H99*B99*$B$9*F99</f>
        <v>-160.4145787234851</v>
      </c>
      <c r="H99" s="6">
        <f>$B$16</f>
        <v>0.0</v>
      </c>
      <c r="I99" s="7">
        <f>D99*$B$15-C99*$B$5*$B$15-B99*$B$9/$B$18</f>
        <v>-6.46040606884058</v>
      </c>
      <c r="J99" s="7">
        <f>IF($B$18&lt;$B$7,"n/a",G99-$B$17*MAX(0,I99)*F99)</f>
        <v>-160.4145787234851</v>
      </c>
      <c r="K99" t="s">
        <v>375</v>
      </c>
    </row>
    <row r="100" spans="1:11" x14ac:dyDescent="0.3">
      <c r="A100" t="s">
        <v>376</v>
      </c>
      <c r="B100">
        <v>1</v>
      </c>
      <c r="C100">
        <v>0.9</v>
      </c>
      <c r="D100">
        <v>1</v>
      </c>
      <c r="E100">
        <v>0</v>
      </c>
      <c r="F100" s="6">
        <f>SUMPRODUCT($B$41:$B$85*($A$41:$A$85&gt;=$B$8+E100)*($A$41:$A$85&lt;$B$8+E100+$B$7))</f>
        <v>9.090877229119709</v>
      </c>
      <c r="G100" s="7">
        <f>(D100-C100*$B$5)*$B$15*F100-B100*$B$28-H100*B100*$B$9*F100</f>
        <v>-127.68745198971706</v>
      </c>
      <c r="H100" s="6">
        <f>$B$16</f>
        <v>0.0</v>
      </c>
      <c r="I100" s="7">
        <f>D100*$B$15-C100*$B$5*$B$15-B100*$B$9/$B$18</f>
        <v>-2.860409510869566</v>
      </c>
      <c r="J100" s="7">
        <f>IF($B$18&lt;$B$7,"n/a",G100-$B$17*MAX(0,I100)*F100)</f>
        <v>-127.68745198971706</v>
      </c>
      <c r="K100" t="s">
        <v>376</v>
      </c>
    </row>
    <row r="101" spans="1:11" x14ac:dyDescent="0.3">
      <c r="A101" t="s">
        <v>377</v>
      </c>
      <c r="B101">
        <v>1</v>
      </c>
      <c r="C101">
        <v>1.2</v>
      </c>
      <c r="D101">
        <v>1</v>
      </c>
      <c r="E101">
        <v>0</v>
      </c>
      <c r="F101" s="6">
        <f>SUMPRODUCT($B$41:$B$85*($A$41:$A$85&gt;=$B$8+E101)*($A$41:$A$85&lt;$B$8+E101+$B$7))</f>
        <v>9.090877229119709</v>
      </c>
      <c r="G101" s="7">
        <f>(D101-C101*$B$5)*$B$15*F101-B101*$B$28-H101*B101*$B$9*F101</f>
        <v>-176.7781420903691</v>
      </c>
      <c r="H101" s="6">
        <f>$B$16</f>
        <v>0.0</v>
      </c>
      <c r="I101" s="7">
        <f>D101*$B$15-C101*$B$5*$B$15-B101*$B$9/$B$18</f>
        <v>-8.260404347826086</v>
      </c>
      <c r="J101" s="7">
        <f>IF($B$18&lt;$B$7,"n/a",G101-$B$17*MAX(0,I101)*F101)</f>
        <v>-176.7781420903691</v>
      </c>
      <c r="K101" t="s">
        <v>377</v>
      </c>
    </row>
    <row r="102" spans="1:11" x14ac:dyDescent="0.3">
      <c r="A102" t="s">
        <v>378</v>
      </c>
      <c r="B102">
        <v>1</v>
      </c>
      <c r="C102">
        <v>0.8</v>
      </c>
      <c r="D102">
        <v>1</v>
      </c>
      <c r="E102">
        <v>0</v>
      </c>
      <c r="F102" s="6">
        <f>SUMPRODUCT($B$41:$B$85*($A$41:$A$85&gt;=$B$8+E102)*($A$41:$A$85&lt;$B$8+E102+$B$7))</f>
        <v>9.090877229119709</v>
      </c>
      <c r="G102" s="7">
        <f>(D102-C102*$B$5)*$B$15*F102-B102*$B$28-H102*B102*$B$9*F102</f>
        <v>-111.32388862283307</v>
      </c>
      <c r="H102" s="6">
        <f>$B$16</f>
        <v>0.0</v>
      </c>
      <c r="I102" s="7">
        <f>D102*$B$15-C102*$B$5*$B$15-B102*$B$9/$B$18</f>
        <v>-1.0604112318840588</v>
      </c>
      <c r="J102" s="7">
        <f>IF($B$18&lt;$B$7,"n/a",G102-$B$17*MAX(0,I102)*F102)</f>
        <v>-111.32388862283307</v>
      </c>
      <c r="K102" t="s">
        <v>378</v>
      </c>
    </row>
    <row r="103" spans="1:11" x14ac:dyDescent="0.3">
      <c r="A103" t="s">
        <v>379</v>
      </c>
      <c r="B103">
        <v>1</v>
      </c>
      <c r="C103">
        <v>1</v>
      </c>
      <c r="D103">
        <v>1.05</v>
      </c>
      <c r="E103">
        <v>0</v>
      </c>
      <c r="F103" s="6">
        <f>SUMPRODUCT($B$41:$B$85*($A$41:$A$85&gt;=$B$8+E103)*($A$41:$A$85&lt;$B$8+E103+$B$7))</f>
        <v>9.090877229119709</v>
      </c>
      <c r="G103" s="7">
        <f>(D103-C103*$B$5)*$B$15*F103-B103*$B$28-H103*B103*$B$9*F103</f>
        <v>-133.4421548113595</v>
      </c>
      <c r="H103" s="6">
        <f>$B$16</f>
        <v>0.0</v>
      </c>
      <c r="I103" s="7">
        <f>D103*$B$15-C103*$B$5*$B$15-B103*$B$9/$B$18</f>
        <v>-3.4934290398550694</v>
      </c>
      <c r="J103" s="7">
        <f>IF($B$18&lt;$B$7,"n/a",G103-$B$17*MAX(0,I103)*F103)</f>
        <v>-133.4421548113595</v>
      </c>
      <c r="K103" t="s">
        <v>379</v>
      </c>
    </row>
    <row r="104" spans="1:11" x14ac:dyDescent="0.3">
      <c r="A104" t="s">
        <v>380</v>
      </c>
      <c r="B104">
        <v>1</v>
      </c>
      <c r="C104">
        <v>1</v>
      </c>
      <c r="D104">
        <v>0.95</v>
      </c>
      <c r="E104">
        <v>0</v>
      </c>
      <c r="F104" s="6">
        <f>SUMPRODUCT($B$41:$B$85*($A$41:$A$85&gt;=$B$8+E104)*($A$41:$A$85&lt;$B$8+E104+$B$7))</f>
        <v>9.090877229119709</v>
      </c>
      <c r="G104" s="7">
        <f>(D104-C104*$B$5)*$B$15*F104-B104*$B$28-H104*B104*$B$9*F104</f>
        <v>-154.65987590184267</v>
      </c>
      <c r="H104" s="6">
        <f>$B$16</f>
        <v>0.0</v>
      </c>
      <c r="I104" s="7">
        <f>D104*$B$15-C104*$B$5*$B$15-B104*$B$9/$B$18</f>
        <v>-5.827386539855073</v>
      </c>
      <c r="J104" s="7">
        <f>IF($B$18&lt;$B$7,"n/a",G104-$B$17*MAX(0,I104)*F104)</f>
        <v>-154.65987590184267</v>
      </c>
      <c r="K104" t="s">
        <v>380</v>
      </c>
    </row>
    <row r="105" spans="1:11" x14ac:dyDescent="0.3">
      <c r="A105" t="s">
        <v>381</v>
      </c>
      <c r="B105">
        <v>1</v>
      </c>
      <c r="C105">
        <v>1</v>
      </c>
      <c r="D105">
        <v>1.1000000000000001</v>
      </c>
      <c r="E105">
        <v>0</v>
      </c>
      <c r="F105" s="6">
        <f>SUMPRODUCT($B$41:$B$85*($A$41:$A$85&gt;=$B$8+E105)*($A$41:$A$85&lt;$B$8+E105+$B$7))</f>
        <v>9.090877229119709</v>
      </c>
      <c r="G105" s="7">
        <f>(D105-C105*$B$5)*$B$15*F105-B105*$B$28-H105*B105*$B$9*F105</f>
        <v>-122.83329426611789</v>
      </c>
      <c r="H105" s="6">
        <f>$B$16</f>
        <v>0.0</v>
      </c>
      <c r="I105" s="7">
        <f>D105*$B$15-C105*$B$5*$B$15-B105*$B$9/$B$18</f>
        <v>-2.3264502898550674</v>
      </c>
      <c r="J105" s="7">
        <f>IF($B$18&lt;$B$7,"n/a",G105-$B$17*MAX(0,I105)*F105)</f>
        <v>-122.83329426611789</v>
      </c>
      <c r="K105" t="s">
        <v>381</v>
      </c>
    </row>
    <row r="106" spans="1:11" x14ac:dyDescent="0.3">
      <c r="A106" t="s">
        <v>382</v>
      </c>
      <c r="B106">
        <v>1</v>
      </c>
      <c r="C106">
        <v>1</v>
      </c>
      <c r="D106">
        <v>0.9</v>
      </c>
      <c r="E106">
        <v>0</v>
      </c>
      <c r="F106" s="6">
        <f>SUMPRODUCT($B$41:$B$85*($A$41:$A$85&gt;=$B$8+E106)*($A$41:$A$85&lt;$B$8+E106+$B$7))</f>
        <v>9.090877229119709</v>
      </c>
      <c r="G106" s="7">
        <f>(D106-C106*$B$5)*$B$15*F106-B106*$B$28-H106*B106*$B$9*F106</f>
        <v>-165.26873644708425</v>
      </c>
      <c r="H106" s="6">
        <f>$B$16</f>
        <v>0.0</v>
      </c>
      <c r="I106" s="7">
        <f>D106*$B$15-C106*$B$5*$B$15-B106*$B$9/$B$18</f>
        <v>-6.994365289855072</v>
      </c>
      <c r="J106" s="7">
        <f>IF($B$18&lt;$B$7,"n/a",G106-$B$17*MAX(0,I106)*F106)</f>
        <v>-165.26873644708425</v>
      </c>
      <c r="K106" t="s">
        <v>382</v>
      </c>
    </row>
    <row r="107" spans="1:11" x14ac:dyDescent="0.3">
      <c r="A107" t="s">
        <v>383</v>
      </c>
      <c r="B107">
        <v>1</v>
      </c>
      <c r="C107">
        <v>1</v>
      </c>
      <c r="D107">
        <v>1.2</v>
      </c>
      <c r="E107">
        <v>0</v>
      </c>
      <c r="F107" s="6">
        <f>SUMPRODUCT($B$41:$B$85*($A$41:$A$85&gt;=$B$8+E107)*($A$41:$A$85&lt;$B$8+E107+$B$7))</f>
        <v>9.090877229119709</v>
      </c>
      <c r="G107" s="7">
        <f>(D107-C107*$B$5)*$B$15*F107-B107*$B$28-H107*B107*$B$9*F107</f>
        <v>-101.61557317563475</v>
      </c>
      <c r="H107" s="6">
        <f>$B$16</f>
        <v>0.0</v>
      </c>
      <c r="I107" s="7">
        <f>D107*$B$15-C107*$B$5*$B$15-B107*$B$9/$B$18</f>
        <v>0.007507210144929388</v>
      </c>
      <c r="J107" s="7">
        <f>IF($B$18&lt;$B$7,"n/a",G107-$B$17*MAX(0,I107)*F107)</f>
        <v>-101.6292226007869</v>
      </c>
      <c r="K107" t="s">
        <v>383</v>
      </c>
    </row>
    <row r="108" spans="1:11" x14ac:dyDescent="0.3">
      <c r="A108" t="s">
        <v>384</v>
      </c>
      <c r="B108">
        <v>1</v>
      </c>
      <c r="C108">
        <v>1</v>
      </c>
      <c r="D108">
        <v>0.8</v>
      </c>
      <c r="E108">
        <v>0</v>
      </c>
      <c r="F108" s="6">
        <f>SUMPRODUCT($B$41:$B$85*($A$41:$A$85&gt;=$B$8+E108)*($A$41:$A$85&lt;$B$8+E108+$B$7))</f>
        <v>9.090877229119709</v>
      </c>
      <c r="G108" s="7">
        <f>(D108-C108*$B$5)*$B$15*F108-B108*$B$28-H108*B108*$B$9*F108</f>
        <v>-186.4864575375674</v>
      </c>
      <c r="H108" s="6">
        <f>$B$16</f>
        <v>0.0</v>
      </c>
      <c r="I108" s="7">
        <f>D108*$B$15-C108*$B$5*$B$15-B108*$B$9/$B$18</f>
        <v>-9.328322789855072</v>
      </c>
      <c r="J108" s="7">
        <f>IF($B$18&lt;$B$7,"n/a",G108-$B$17*MAX(0,I108)*F108)</f>
        <v>-186.4864575375674</v>
      </c>
      <c r="K108" t="s">
        <v>384</v>
      </c>
    </row>
    <row r="109" spans="1:11" x14ac:dyDescent="0.3">
      <c r="A109" t="s">
        <v>385</v>
      </c>
      <c r="B109">
        <v>1.05</v>
      </c>
      <c r="C109">
        <v>1</v>
      </c>
      <c r="D109">
        <v>0.95</v>
      </c>
      <c r="E109">
        <v>0</v>
      </c>
      <c r="F109" s="6">
        <f>SUMPRODUCT($B$41:$B$85*($A$41:$A$85&gt;=$B$8+E109)*($A$41:$A$85&lt;$B$8+E109+$B$7))</f>
        <v>9.090877229119709</v>
      </c>
      <c r="G109" s="7">
        <f>(D109-C109*$B$5)*$B$15*F109-B109*$B$28-H109*B109*$B$9*F109</f>
        <v>-164.28950553147232</v>
      </c>
      <c r="H109" s="6">
        <f>$B$16</f>
        <v>0.0</v>
      </c>
      <c r="I109" s="7">
        <f>D109*$B$15-C109*$B$5*$B$15-B109*$B$9/$B$18</f>
        <v>-6.327386539855073</v>
      </c>
      <c r="J109" s="7">
        <f>IF($B$18&lt;$B$7,"n/a",G109-$B$17*MAX(0,I109)*F109)</f>
        <v>-164.28950553147232</v>
      </c>
      <c r="K109" t="s">
        <v>385</v>
      </c>
    </row>
    <row r="110" spans="1:11" x14ac:dyDescent="0.3">
      <c r="A110" t="s">
        <v>386</v>
      </c>
      <c r="B110">
        <v>0.95</v>
      </c>
      <c r="C110">
        <v>1</v>
      </c>
      <c r="D110">
        <v>1.05</v>
      </c>
      <c r="E110">
        <v>0</v>
      </c>
      <c r="F110" s="6">
        <f>SUMPRODUCT($B$41:$B$85*($A$41:$A$85&gt;=$B$8+E110)*($A$41:$A$85&lt;$B$8+E110+$B$7))</f>
        <v>9.090877229119709</v>
      </c>
      <c r="G110" s="7">
        <f>(D110-C110*$B$5)*$B$15*F110-B110*$B$28-H110*B110*$B$9*F110</f>
        <v>-123.81252518172984</v>
      </c>
      <c r="H110" s="6">
        <f>$B$16</f>
        <v>0.0</v>
      </c>
      <c r="I110" s="7">
        <f>D110*$B$15-C110*$B$5*$B$15-B110*$B$9/$B$18</f>
        <v>-2.9934290398550694</v>
      </c>
      <c r="J110" s="7">
        <f>IF($B$18&lt;$B$7,"n/a",G110-$B$17*MAX(0,I110)*F110)</f>
        <v>-123.81252518172984</v>
      </c>
      <c r="K110" t="s">
        <v>386</v>
      </c>
    </row>
    <row r="111" spans="1:11" x14ac:dyDescent="0.3">
      <c r="A111" t="s">
        <v>387</v>
      </c>
      <c r="B111">
        <v>1.1000000000000001</v>
      </c>
      <c r="C111">
        <v>1</v>
      </c>
      <c r="D111">
        <v>0.9</v>
      </c>
      <c r="E111">
        <v>0</v>
      </c>
      <c r="F111" s="6">
        <f>SUMPRODUCT($B$41:$B$85*($A$41:$A$85&gt;=$B$8+E111)*($A$41:$A$85&lt;$B$8+E111+$B$7))</f>
        <v>9.090877229119709</v>
      </c>
      <c r="G111" s="7">
        <f>(D111-C111*$B$5)*$B$15*F111-B111*$B$28-H111*B111*$B$9*F111</f>
        <v>-184.52799570634352</v>
      </c>
      <c r="H111" s="6">
        <f>$B$16</f>
        <v>0.0</v>
      </c>
      <c r="I111" s="7">
        <f>D111*$B$15-C111*$B$5*$B$15-B111*$B$9/$B$18</f>
        <v>-7.994365289855073</v>
      </c>
      <c r="J111" s="7">
        <f>IF($B$18&lt;$B$7,"n/a",G111-$B$17*MAX(0,I111)*F111)</f>
        <v>-184.52799570634352</v>
      </c>
      <c r="K111" t="s">
        <v>387</v>
      </c>
    </row>
    <row r="112" spans="1:11" x14ac:dyDescent="0.3">
      <c r="A112" t="s">
        <v>388</v>
      </c>
      <c r="B112">
        <v>0.9</v>
      </c>
      <c r="C112">
        <v>1</v>
      </c>
      <c r="D112">
        <v>1.1000000000000001</v>
      </c>
      <c r="E112">
        <v>0</v>
      </c>
      <c r="F112" s="6">
        <f>SUMPRODUCT($B$41:$B$85*($A$41:$A$85&gt;=$B$8+E112)*($A$41:$A$85&lt;$B$8+E112+$B$7))</f>
        <v>9.090877229119709</v>
      </c>
      <c r="G112" s="7">
        <f>(D112-C112*$B$5)*$B$15*F112-B112*$B$28-H112*B112*$B$9*F112</f>
        <v>-103.57403500685862</v>
      </c>
      <c r="H112" s="6">
        <f>$B$16</f>
        <v>0.0</v>
      </c>
      <c r="I112" s="7">
        <f>D112*$B$15-C112*$B$5*$B$15-B112*$B$9/$B$18</f>
        <v>-1.3264502898550674</v>
      </c>
      <c r="J112" s="7">
        <f>IF($B$18&lt;$B$7,"n/a",G112-$B$17*MAX(0,I112)*F112)</f>
        <v>-103.57403500685862</v>
      </c>
      <c r="K112" t="s">
        <v>388</v>
      </c>
    </row>
    <row r="113" spans="1:11" x14ac:dyDescent="0.3">
      <c r="A113" t="s">
        <v>389</v>
      </c>
      <c r="B113">
        <v>1.2</v>
      </c>
      <c r="C113">
        <v>1</v>
      </c>
      <c r="D113">
        <v>0.8</v>
      </c>
      <c r="E113">
        <v>0</v>
      </c>
      <c r="F113" s="6">
        <f>SUMPRODUCT($B$41:$B$85*($A$41:$A$85&gt;=$B$8+E113)*($A$41:$A$85&lt;$B$8+E113+$B$7))</f>
        <v>9.090877229119709</v>
      </c>
      <c r="G113" s="7">
        <f>(D113-C113*$B$5)*$B$15*F113-B113*$B$28-H113*B113*$B$9*F113</f>
        <v>-225.0049760560859</v>
      </c>
      <c r="H113" s="6">
        <f>$B$16</f>
        <v>0.0</v>
      </c>
      <c r="I113" s="7">
        <f>D113*$B$15-C113*$B$5*$B$15-B113*$B$9/$B$18</f>
        <v>-11.328322789855072</v>
      </c>
      <c r="J113" s="7">
        <f>IF($B$18&lt;$B$7,"n/a",G113-$B$17*MAX(0,I113)*F113)</f>
        <v>-225.0049760560859</v>
      </c>
      <c r="K113" t="s">
        <v>389</v>
      </c>
    </row>
    <row r="114" spans="1:11" x14ac:dyDescent="0.3">
      <c r="A114" t="s">
        <v>390</v>
      </c>
      <c r="B114">
        <v>0.8</v>
      </c>
      <c r="C114">
        <v>1</v>
      </c>
      <c r="D114">
        <v>1.2</v>
      </c>
      <c r="E114">
        <v>0</v>
      </c>
      <c r="F114" s="6">
        <f>SUMPRODUCT($B$41:$B$85*($A$41:$A$85&gt;=$B$8+E114)*($A$41:$A$85&lt;$B$8+E114+$B$7))</f>
        <v>9.090877229119709</v>
      </c>
      <c r="G114" s="7">
        <f>(D114-C114*$B$5)*$B$15*F114-B114*$B$28-H114*B114*$B$9*F114</f>
        <v>-63.097054657116246</v>
      </c>
      <c r="H114" s="6">
        <f>$B$16</f>
        <v>0.0</v>
      </c>
      <c r="I114" s="7">
        <f>D114*$B$15-C114*$B$5*$B$15-B114*$B$9/$B$18</f>
        <v>2.0075072101449294</v>
      </c>
      <c r="J114" s="7">
        <f>IF($B$18&lt;$B$7,"n/a",G114-$B$17*MAX(0,I114)*F114)</f>
        <v>-66.74705497391628</v>
      </c>
      <c r="K114" t="s">
        <v>390</v>
      </c>
    </row>
    <row r="115" spans="1:11" x14ac:dyDescent="0.3">
      <c r="A115" t="s">
        <v>391</v>
      </c>
      <c r="B115">
        <v>1</v>
      </c>
      <c r="C115">
        <v>1</v>
      </c>
      <c r="D115">
        <v>1</v>
      </c>
      <c r="E115">
        <v>1</v>
      </c>
      <c r="F115" s="6">
        <f>SUMPRODUCT($B$41:$B$85*($A$41:$A$85&gt;=$B$8+E115)*($A$41:$A$85&lt;$B$8+E115+$B$7))</f>
        <v>8.417478915851582</v>
      </c>
      <c r="G115" s="7">
        <f>(D115-C115*$B$5)*$B$15*F115-B115*$B$28-H115*B115*$B$9*F115</f>
        <v>-147.6466877444523</v>
      </c>
      <c r="H115" s="6">
        <f>$B$16</f>
        <v>0.0</v>
      </c>
      <c r="I115" s="7">
        <f>D115*$B$15-C115*$B$5*$B$15-B115*$B$9/$B$18</f>
        <v>-4.660407789855071</v>
      </c>
      <c r="J115" s="7">
        <f>IF($B$18&lt;$B$7,"n/a",G115-$B$17*MAX(0,I115)*F115)</f>
        <v>-147.6466877444523</v>
      </c>
      <c r="K115" t="s">
        <v>391</v>
      </c>
    </row>
    <row r="116" spans="1:11" x14ac:dyDescent="0.3">
      <c r="A116" t="s">
        <v>392</v>
      </c>
      <c r="B116">
        <v>1</v>
      </c>
      <c r="C116">
        <v>1</v>
      </c>
      <c r="D116">
        <v>1</v>
      </c>
      <c r="E116">
        <v>0</v>
      </c>
      <c r="F116" s="6">
        <f>SUMPRODUCT($B$41:$B$85*($A$41:$A$85&gt;=$B$8+E116)*($A$41:$A$85&lt;$B$8+E116+$B$7))</f>
        <v>9.090877229119709</v>
      </c>
      <c r="G116" s="7">
        <f>(D116-C116*$B$5)*$B$15*F116-B116*$B$28-H116*B116*$B$9*F116</f>
        <v>-287.8564770696819</v>
      </c>
      <c r="H116" s="6">
        <f>Inputs!$C$165</f>
        <v>0.07909328114807566</v>
      </c>
      <c r="I116" s="7">
        <f>D116*$B$15-C116*$B$5*$B$15-B116*$B$9/$B$18</f>
        <v>-4.660407789855071</v>
      </c>
      <c r="J116" s="7">
        <f>IF($B$18&lt;$B$7,"n/a",G116-$B$17*MAX(0,I116)*F116)</f>
        <v>-287.8564770696819</v>
      </c>
      <c r="K116" t="s">
        <v>392</v>
      </c>
    </row>
    <row r="123" spans="1:1" x14ac:dyDescent="0.3">
      <c r="A123" s="1" t="s">
        <v>393</v>
      </c>
    </row>
    <row r="124" spans="1:9" ht="42" x14ac:dyDescent="0.3">
      <c r="A124" s="3" t="s">
        <v>394</v>
      </c>
      <c r="B124" s="3" t="s">
        <v>315</v>
      </c>
      <c r="C124" s="3" t="s">
        <v>316</v>
      </c>
      <c r="D124" s="3" t="s">
        <v>395</v>
      </c>
      <c r="E124" s="3" t="s">
        <v>362</v>
      </c>
      <c r="F124" s="3" t="s">
        <v>396</v>
      </c>
      <c r="G124" s="3" t="s">
        <v>360</v>
      </c>
      <c r="H124" s="3" t="s">
        <v>397</v>
      </c>
      <c r="I124" s="3" t="s">
        <v>398</v>
      </c>
    </row>
    <row r="125" spans="1:9" x14ac:dyDescent="0.3">
      <c r="A125" t="s">
        <v>399</v>
      </c>
      <c r="B125" s="8">
        <f>B6</f>
        <v>0.08</v>
      </c>
      <c r="C125">
        <f>B7</f>
        <v>20.0</v>
      </c>
      <c r="D125">
        <f>$B$19</f>
        <v>1.0</v>
      </c>
      <c r="E125" s="6">
        <f>B16</f>
        <v>0.0</v>
      </c>
      <c r="F125" s="7">
        <f>$B$14*$B$13/1000+D125*$B$14*Inputs!$D$147/1000</f>
        <v>23.339575000000004</v>
      </c>
      <c r="G125" s="6">
        <f>(1+B125)^(-$B$8)*(1-(1+B125)^(-C125))/(1-1/(1+B125))</f>
        <v>9.090877229119702</v>
      </c>
      <c r="H125" s="7">
        <f>($B$9/$B$8)*(1-(1+B125)^(-$B$8))/(1-1/(1+B125))</f>
        <v>192.59259259259252</v>
      </c>
      <c r="I125" s="7">
        <f>(F125*(1-$B$5)-E125*$B$9)*G125-H125</f>
        <v>-144.05101535660106</v>
      </c>
    </row>
    <row r="126" spans="1:9" x14ac:dyDescent="0.3">
      <c r="A126" t="s">
        <v>400</v>
      </c>
      <c r="B126" s="8">
        <f>B6</f>
        <v>0.08</v>
      </c>
      <c r="C126">
        <f>B7</f>
        <v>20.0</v>
      </c>
      <c r="D126">
        <v>0</v>
      </c>
      <c r="E126" s="6">
        <f>B16</f>
        <v>0.0</v>
      </c>
      <c r="F126" s="7">
        <f>$B$14*$B$13/1000+D126*$B$14*Inputs!$D$147/1000</f>
        <v>14.169225000000003</v>
      </c>
      <c r="G126" s="6">
        <f>(1+B126)^(-$B$8)*(1-(1+B126)^(-C126))/(1-1/(1+B126))</f>
        <v>9.090877229119702</v>
      </c>
      <c r="H126" s="7">
        <f>($B$9/$B$8)*(1-(1+B126)^(-$B$8))/(1-1/(1+B126))</f>
        <v>192.59259259259252</v>
      </c>
      <c r="I126" s="7">
        <f>(F126*(1-$B$5)-E126*$B$9)*G126-H126</f>
        <v>-163.12348144932446</v>
      </c>
    </row>
    <row r="127" spans="1:9" x14ac:dyDescent="0.3">
      <c r="A127" t="s">
        <v>401</v>
      </c>
      <c r="B127" s="8">
        <f>B6</f>
        <v>0.08</v>
      </c>
      <c r="C127">
        <v>30</v>
      </c>
      <c r="D127">
        <f>$B$19</f>
        <v>1.0</v>
      </c>
      <c r="E127" s="6">
        <f>B16</f>
        <v>0.0</v>
      </c>
      <c r="F127" s="7">
        <f>$B$14*$B$13/1000+D127*$B$14*Inputs!$D$147/1000</f>
        <v>23.339575000000004</v>
      </c>
      <c r="G127" s="6">
        <f>(1+B127)^(-$B$8)*(1-(1+B127)^(-C127))/(1-1/(1+B127))</f>
        <v>10.423873465858765</v>
      </c>
      <c r="H127" s="7">
        <f>($B$9/$B$8)*(1-(1+B127)^(-$B$8))/(1-1/(1+B127))</f>
        <v>192.59259259259252</v>
      </c>
      <c r="I127" s="7">
        <f>(F127*(1-$B$5)-E127*$B$9)*G127-H127</f>
        <v>-136.93335903475665</v>
      </c>
    </row>
    <row r="128" spans="1:9" x14ac:dyDescent="0.3">
      <c r="A128" t="s">
        <v>402</v>
      </c>
      <c r="B128" s="8">
        <f>B6</f>
        <v>0.08</v>
      </c>
      <c r="C128">
        <v>40</v>
      </c>
      <c r="D128">
        <f>$B$19</f>
        <v>1.0</v>
      </c>
      <c r="E128" s="6">
        <f>B16</f>
        <v>0.0</v>
      </c>
      <c r="F128" s="7">
        <f>$B$14*$B$13/1000+D128*$B$14*Inputs!$D$147/1000</f>
        <v>23.339575000000004</v>
      </c>
      <c r="G128" s="6">
        <f>(1+B128)^(-$B$8)*(1-(1+B128)^(-C128))/(1-1/(1+B128))</f>
        <v>11.04130864235769</v>
      </c>
      <c r="H128" s="7">
        <f>($B$9/$B$8)*(1-(1+B128)^(-$B$8))/(1-1/(1+B128))</f>
        <v>192.59259259259252</v>
      </c>
      <c r="I128" s="7">
        <f>(F128*(1-$B$5)-E128*$B$9)*G128-H128</f>
        <v>-133.63650697605354</v>
      </c>
    </row>
    <row r="129" spans="1:9" x14ac:dyDescent="0.3">
      <c r="A129" t="s">
        <v>403</v>
      </c>
      <c r="B129" s="8">
        <v>0.06</v>
      </c>
      <c r="C129">
        <f>B7</f>
        <v>20.0</v>
      </c>
      <c r="D129">
        <f>$B$19</f>
        <v>1.0</v>
      </c>
      <c r="E129" s="6">
        <f>B16</f>
        <v>0.0</v>
      </c>
      <c r="F129" s="7">
        <f>$B$14*$B$13/1000+D129*$B$14*Inputs!$D$147/1000</f>
        <v>23.339575000000004</v>
      </c>
      <c r="G129" s="6">
        <f>(1+B129)^(-$B$8)*(1-(1+B129)^(-C129))/(1-1/(1+B129))</f>
        <v>10.820680394872868</v>
      </c>
      <c r="H129" s="7">
        <f>($B$9/$B$8)*(1-(1+B129)^(-$B$8))/(1-1/(1+B129))</f>
        <v>194.3396226415093</v>
      </c>
      <c r="I129" s="7">
        <f>(F129*(1-$B$5)-E129*$B$9)*G129-H129</f>
        <v>-136.5616018965782</v>
      </c>
    </row>
    <row r="130" spans="1:9" x14ac:dyDescent="0.3">
      <c r="A130" t="s">
        <v>404</v>
      </c>
      <c r="B130" s="8">
        <v>7.0000000000000007E-2</v>
      </c>
      <c r="C130">
        <f>B7</f>
        <v>20.0</v>
      </c>
      <c r="D130">
        <f>$B$19</f>
        <v>1.0</v>
      </c>
      <c r="E130" s="6">
        <f>B16</f>
        <v>0.0</v>
      </c>
      <c r="F130" s="7">
        <f>$B$14*$B$13/1000+D130*$B$14*Inputs!$D$147/1000</f>
        <v>23.339575000000004</v>
      </c>
      <c r="G130" s="6">
        <f>(1+B130)^(-$B$8)*(1-(1+B130)^(-C130))/(1-1/(1+B130))</f>
        <v>9.90094789300576</v>
      </c>
      <c r="H130" s="7">
        <f>($B$9/$B$8)*(1-(1+B130)^(-$B$8))/(1-1/(1+B130))</f>
        <v>193.45794392523374</v>
      </c>
      <c r="I130" s="7">
        <f>(F130*(1-$B$5)-E130*$B$9)*G130-H130</f>
        <v>-140.59091968268933</v>
      </c>
    </row>
    <row r="131" spans="1:9" x14ac:dyDescent="0.3">
      <c r="A131" t="s">
        <v>405</v>
      </c>
      <c r="B131" s="8">
        <v>0.1</v>
      </c>
      <c r="C131">
        <f>B7</f>
        <v>20.0</v>
      </c>
      <c r="D131">
        <f>$B$19</f>
        <v>1.0</v>
      </c>
      <c r="E131" s="6">
        <f>B16</f>
        <v>0.0</v>
      </c>
      <c r="F131" s="7">
        <f>$B$14*$B$13/1000+D131*$B$14*Inputs!$D$147/1000</f>
        <v>23.339575000000004</v>
      </c>
      <c r="G131" s="6">
        <f>(1+B131)^(-$B$8)*(1-(1+B131)^(-C131))/(1-1/(1+B131))</f>
        <v>7.739603381598693</v>
      </c>
      <c r="H131" s="7">
        <f>($B$9/$B$8)*(1-(1+B131)^(-$B$8))/(1-1/(1+B131))</f>
        <v>190.90909090909093</v>
      </c>
      <c r="I131" s="7">
        <f>(F131*(1-$B$5)-E131*$B$9)*G131-H131</f>
        <v>-149.58276498309522</v>
      </c>
    </row>
    <row r="132" spans="1:9" x14ac:dyDescent="0.3">
      <c r="A132" t="s">
        <v>406</v>
      </c>
      <c r="B132" s="8">
        <f>B6</f>
        <v>0.08</v>
      </c>
      <c r="C132">
        <f>B7</f>
        <v>20.0</v>
      </c>
      <c r="D132">
        <f>$B$19</f>
        <v>1.0</v>
      </c>
      <c r="E132" s="6">
        <f>Inputs!$C$165</f>
        <v>0.07909328114807566</v>
      </c>
      <c r="F132" s="7">
        <f>$B$14*$B$13/1000+D132*$B$14*Inputs!$D$147/1000</f>
        <v>23.339575000000004</v>
      </c>
      <c r="G132" s="6">
        <f>(1+B132)^(-$B$8)*(1-(1+B132)^(-C132))/(1-1/(1+B132))</f>
        <v>9.090877229119702</v>
      </c>
      <c r="H132" s="7">
        <f>($B$9/$B$8)*(1-(1+B132)^(-$B$8))/(1-1/(1+B132))</f>
        <v>192.59259259259252</v>
      </c>
      <c r="I132" s="7">
        <f>(F132*(1-$B$5)-E132*$B$9)*G132-H132</f>
        <v>-287.8564770696818</v>
      </c>
    </row>
    <row r="133" spans="1:9" x14ac:dyDescent="0.3">
      <c r="A133" t="s">
        <v>407</v>
      </c>
      <c r="B133" s="8">
        <f>B6</f>
        <v>0.08</v>
      </c>
      <c r="C133">
        <v>30</v>
      </c>
      <c r="D133">
        <f>$B$19</f>
        <v>1.0</v>
      </c>
      <c r="E133" s="6">
        <f>Inputs!$C$165</f>
        <v>0.07909328114807566</v>
      </c>
      <c r="F133" s="7">
        <f>$B$14*$B$13/1000+D133*$B$14*Inputs!$D$147/1000</f>
        <v>23.339575000000004</v>
      </c>
      <c r="G133" s="6">
        <f>(1+B133)^(-$B$8)*(1-(1+B133)^(-C133))/(1-1/(1+B133))</f>
        <v>10.423873465858765</v>
      </c>
      <c r="H133" s="7">
        <f>($B$9/$B$8)*(1-(1+B133)^(-$B$8))/(1-1/(1+B133))</f>
        <v>192.59259259259252</v>
      </c>
      <c r="I133" s="7">
        <f>(F133*(1-$B$5)-E133*$B$9)*G133-H133</f>
        <v>-301.8250299721833</v>
      </c>
    </row>
    <row r="134" spans="1:9" x14ac:dyDescent="0.3">
      <c r="A134" t="s">
        <v>408</v>
      </c>
      <c r="B134" s="8">
        <f>B6</f>
        <v>0.08</v>
      </c>
      <c r="C134">
        <f>B7</f>
        <v>20.0</v>
      </c>
      <c r="D134">
        <v>0</v>
      </c>
      <c r="E134" s="6">
        <f>Inputs!$C$165</f>
        <v>0.07909328114807566</v>
      </c>
      <c r="F134" s="7">
        <f>$B$14*$B$13/1000+D134*$B$14*Inputs!$D$147/1000</f>
        <v>14.169225000000003</v>
      </c>
      <c r="G134" s="6">
        <f>(1+B134)^(-$B$8)*(1-(1+B134)^(-C134))/(1-1/(1+B134))</f>
        <v>9.090877229119702</v>
      </c>
      <c r="H134" s="7">
        <f>($B$9/$B$8)*(1-(1+B134)^(-$B$8))/(1-1/(1+B134))</f>
        <v>192.59259259259252</v>
      </c>
      <c r="I134" s="7">
        <f>(F134*(1-$B$5)-E134*$B$9)*G134-H134</f>
        <v>-306.9289431624052</v>
      </c>
    </row>
    <row r="135" spans="1:9" x14ac:dyDescent="0.3">
      <c r="A135" t="s">
        <v>409</v>
      </c>
      <c r="B135" s="8">
        <f>B6</f>
        <v>0.08</v>
      </c>
      <c r="C135">
        <v>30</v>
      </c>
      <c r="D135">
        <v>0</v>
      </c>
      <c r="E135" s="6">
        <f>Inputs!$C$165</f>
        <v>0.07909328114807566</v>
      </c>
      <c r="F135" s="7">
        <f>$B$14*$B$13/1000+D135*$B$14*Inputs!$D$147/1000</f>
        <v>14.169225000000003</v>
      </c>
      <c r="G135" s="6">
        <f>(1+B135)^(-$B$8)*(1-(1+B135)^(-C135))/(1-1/(1+B135))</f>
        <v>10.423873465858765</v>
      </c>
      <c r="H135" s="7">
        <f>($B$9/$B$8)*(1-(1+B135)^(-$B$8))/(1-1/(1+B135))</f>
        <v>192.59259259259252</v>
      </c>
      <c r="I135" s="7">
        <f>(F135*(1-$B$5)-E135*$B$9)*G135-H135</f>
        <v>-323.69409367437584</v>
      </c>
    </row>
    <row r="140" spans="1:1" x14ac:dyDescent="0.3">
      <c r="A140" s="1" t="s">
        <v>410</v>
      </c>
    </row>
    <row r="141" spans="1:4" x14ac:dyDescent="0.3">
      <c r="A141" s="1" t="s">
        <v>411</v>
      </c>
      <c r="B141" s="6">
        <v>0.7</v>
      </c>
      <c r="C141" s="6">
        <f>B5</f>
        <v>0.7712215320910973</v>
      </c>
      <c r="D141" s="6">
        <f>Inputs!$C$150</f>
        <v>0.9383</v>
      </c>
    </row>
    <row r="142" spans="1:4" x14ac:dyDescent="0.3">
      <c r="A142">
        <v>150</v>
      </c>
      <c r="B142" s="7">
        <f>$B$15*(1-B$141)*$B$27-$A142*($B$28/$B$9)-$B$16*$A142*$B$27</f>
        <v>-80.79128117299493</v>
      </c>
      <c r="C142" s="7">
        <f>$B$15*(1-C$141)*$B$27-$A142*($B$28/$B$9)-$B$16*$A142*$B$27</f>
        <v>-95.90286720845293</v>
      </c>
      <c r="D142" s="7">
        <f>$B$15*(1-D$141)*$B$27-$A142*($B$28/$B$9)-$B$16*$A142*$B$27</f>
        <v>-131.35311053161632</v>
      </c>
    </row>
    <row r="143" spans="1:4" x14ac:dyDescent="0.3">
      <c r="A143">
        <v>200</v>
      </c>
      <c r="B143" s="7">
        <f>$B$15*(1-B$141)*$B$27-$A143*($B$28/$B$9)-$B$16*$A143*$B$27</f>
        <v>-128.93942932114308</v>
      </c>
      <c r="C143" s="7">
        <f>$B$15*(1-C$141)*$B$27-$A143*($B$28/$B$9)-$B$16*$A143*$B$27</f>
        <v>-144.05101535660108</v>
      </c>
      <c r="D143" s="7">
        <f>$B$15*(1-D$141)*$B$27-$A143*($B$28/$B$9)-$B$16*$A143*$B$27</f>
        <v>-179.50125867976448</v>
      </c>
    </row>
    <row r="144" spans="1:4" x14ac:dyDescent="0.3">
      <c r="A144">
        <v>250</v>
      </c>
      <c r="B144" s="7">
        <f>$B$15*(1-B$141)*$B$27-$A144*($B$28/$B$9)-$B$16*$A144*$B$27</f>
        <v>-177.08757746929123</v>
      </c>
      <c r="C144" s="7">
        <f>$B$15*(1-C$141)*$B$27-$A144*($B$28/$B$9)-$B$16*$A144*$B$27</f>
        <v>-192.19916350474924</v>
      </c>
      <c r="D144" s="7">
        <f>$B$15*(1-D$141)*$B$27-$A144*($B$28/$B$9)-$B$16*$A144*$B$27</f>
        <v>-227.64940682791263</v>
      </c>
    </row>
    <row r="148" spans="1:1" x14ac:dyDescent="0.3">
      <c r="A148" s="1" t="s">
        <v>412</v>
      </c>
    </row>
    <row r="149" spans="1:4" x14ac:dyDescent="0.3">
      <c r="A149" s="1" t="s">
        <v>413</v>
      </c>
      <c r="B149" s="1" t="s">
        <v>414</v>
      </c>
      <c r="C149" s="1" t="s">
        <v>335</v>
      </c>
      <c r="D149" s="1" t="s">
        <v>5</v>
      </c>
    </row>
    <row r="150" spans="1:4" x14ac:dyDescent="0.3">
      <c r="A150" t="s">
        <v>415</v>
      </c>
      <c r="B150">
        <v>17.8</v>
      </c>
      <c r="C150" t="s">
        <v>416</v>
      </c>
      <c r="D150" t="s">
        <v>417</v>
      </c>
    </row>
    <row r="151" spans="1:4" x14ac:dyDescent="0.3">
      <c r="A151" t="s">
        <v>418</v>
      </c>
      <c r="B151">
        <v>17.3</v>
      </c>
      <c r="C151" t="s">
        <v>416</v>
      </c>
      <c r="D151" t="s">
        <v>419</v>
      </c>
    </row>
    <row r="152" spans="1:4" x14ac:dyDescent="0.3">
      <c r="A152" t="s">
        <v>420</v>
      </c>
      <c r="B152">
        <f>Inputs!$C$82</f>
        <v>7.5</v>
      </c>
      <c r="C152" t="s">
        <v>421</v>
      </c>
      <c r="D152" t="s">
        <v>422</v>
      </c>
    </row>
    <row r="153" spans="1:4" x14ac:dyDescent="0.3">
      <c r="A153" t="s">
        <v>423</v>
      </c>
      <c r="B153">
        <v>14</v>
      </c>
      <c r="C153" t="s">
        <v>424</v>
      </c>
      <c r="D153" t="s">
        <v>425</v>
      </c>
    </row>
    <row r="154" spans="1:4" x14ac:dyDescent="0.3">
      <c r="A154" t="s">
        <v>426</v>
      </c>
      <c r="B154" t="s">
        <v>427</v>
      </c>
      <c r="D154" t="s">
        <v>93</v>
      </c>
    </row>
    <row r="156" spans="1:2" x14ac:dyDescent="0.3">
      <c r="A156" t="s">
        <v>428</v>
      </c>
      <c r="B156" s="7">
        <f>B25</f>
        <v>43.14715039163766</v>
      </c>
    </row>
    <row r="157" spans="1:2" x14ac:dyDescent="0.3">
      <c r="A157" t="s">
        <v>429</v>
      </c>
      <c r="B157" s="13">
        <f>B25/B150</f>
        <v>2.4239972130133514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3"/>
  <sheetData>
    <row r="1" spans="1:1" ht="15" x14ac:dyDescent="0.3">
      <c r="A1" s="2" t="s">
        <v>437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Appraisal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Kanokphan Sirithienthong</cp:lastModifiedBy>
  <dcterms:created xsi:type="dcterms:W3CDTF">2026-10-20T19:44:25Z</dcterms:created>
  <dcterms:modified xsi:type="dcterms:W3CDTF">2026-10-21T01:11:46Z</dcterms:modified>
</cp:coreProperties>
</file>