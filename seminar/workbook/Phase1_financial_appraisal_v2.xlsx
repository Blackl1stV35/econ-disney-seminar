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mp\claude\C--Users-user-AppData-Roaming-Claude-scratch-workspaces-c7acaf2f-ed5f-4f26-814b-0755985b8641-704b7f5d-017e-4c68-a76d-e0c46600fd5a-scratch-2026-10-16-ee569e\885493fd-7279-48f0-8993-cb2538820dce\scratchpad\"/>
    </mc:Choice>
  </mc:AlternateContent>
  <xr:revisionPtr revIDLastSave="0" documentId="13_ncr:1_{1E680D22-5C87-486E-9428-8E01C66D33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s" sheetId="1" r:id="rId1"/>
    <sheet name="Appraisal" sheetId="2" r:id="rId2"/>
    <sheet name="Charts" sheetId="3" r:id="rId3"/>
  </sheets>
  <calcPr calcId="191029"/>
</workbook>
</file>

<file path=xl/calcChain.xml><?xml version="1.0" encoding="utf-8"?>
<calcChain xmlns="http://schemas.openxmlformats.org/spreadsheetml/2006/main">
  <c r="C37" i="2" l="1"/>
  <c r="B37" i="2"/>
  <c r="C36" i="2"/>
  <c r="B36" i="2"/>
  <c r="C35" i="2"/>
  <c r="B35" i="2"/>
  <c r="C34" i="2"/>
  <c r="B34" i="2"/>
  <c r="C33" i="2"/>
  <c r="B33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B130" i="2"/>
  <c r="D119" i="2"/>
  <c r="D111" i="2"/>
  <c r="D110" i="2"/>
  <c r="D109" i="2"/>
  <c r="D108" i="2"/>
  <c r="D107" i="2"/>
  <c r="D106" i="2"/>
  <c r="D105" i="2"/>
  <c r="D103" i="2"/>
  <c r="C62" i="2"/>
  <c r="E62" i="2" s="1"/>
  <c r="B62" i="2"/>
  <c r="B61" i="2"/>
  <c r="C60" i="2"/>
  <c r="B60" i="2"/>
  <c r="B59" i="2"/>
  <c r="C58" i="2"/>
  <c r="B58" i="2"/>
  <c r="B57" i="2"/>
  <c r="C56" i="2"/>
  <c r="B56" i="2"/>
  <c r="B55" i="2"/>
  <c r="C54" i="2"/>
  <c r="B54" i="2"/>
  <c r="B53" i="2"/>
  <c r="C52" i="2"/>
  <c r="B52" i="2"/>
  <c r="B51" i="2"/>
  <c r="C50" i="2"/>
  <c r="B50" i="2"/>
  <c r="B49" i="2"/>
  <c r="C48" i="2"/>
  <c r="E48" i="2" s="1"/>
  <c r="B48" i="2"/>
  <c r="B47" i="2"/>
  <c r="C46" i="2"/>
  <c r="B46" i="2"/>
  <c r="B45" i="2"/>
  <c r="C44" i="2"/>
  <c r="E44" i="2" s="1"/>
  <c r="B44" i="2"/>
  <c r="B43" i="2"/>
  <c r="C42" i="2"/>
  <c r="B42" i="2"/>
  <c r="B41" i="2"/>
  <c r="C16" i="2"/>
  <c r="B16" i="2"/>
  <c r="E104" i="2" s="1"/>
  <c r="C13" i="2"/>
  <c r="B13" i="2"/>
  <c r="B12" i="2"/>
  <c r="C12" i="2" s="1"/>
  <c r="B11" i="2"/>
  <c r="C11" i="2" s="1"/>
  <c r="C10" i="2"/>
  <c r="B10" i="2"/>
  <c r="B14" i="2" s="1"/>
  <c r="C9" i="2"/>
  <c r="C8" i="2"/>
  <c r="B8" i="2"/>
  <c r="L62" i="2" s="1"/>
  <c r="C7" i="2"/>
  <c r="B7" i="2"/>
  <c r="D53" i="2" s="1"/>
  <c r="B6" i="2"/>
  <c r="B111" i="2" s="1"/>
  <c r="G111" i="2" s="1"/>
  <c r="B5" i="2"/>
  <c r="C168" i="1"/>
  <c r="B18" i="2" s="1"/>
  <c r="C167" i="1"/>
  <c r="B17" i="2" s="1"/>
  <c r="C166" i="1"/>
  <c r="E112" i="2" s="1"/>
  <c r="C164" i="1"/>
  <c r="B9" i="2" s="1"/>
  <c r="E52" i="2" l="1"/>
  <c r="E42" i="2"/>
  <c r="H107" i="2"/>
  <c r="H110" i="2"/>
  <c r="H108" i="2"/>
  <c r="H113" i="2"/>
  <c r="H111" i="2"/>
  <c r="H106" i="2"/>
  <c r="H104" i="2"/>
  <c r="H109" i="2"/>
  <c r="E46" i="2"/>
  <c r="E58" i="2"/>
  <c r="C17" i="2"/>
  <c r="F109" i="2"/>
  <c r="C15" i="2"/>
  <c r="B15" i="2"/>
  <c r="F112" i="2"/>
  <c r="F107" i="2"/>
  <c r="C14" i="2"/>
  <c r="F110" i="2"/>
  <c r="F105" i="2"/>
  <c r="F103" i="2"/>
  <c r="F108" i="2"/>
  <c r="F113" i="2"/>
  <c r="F111" i="2"/>
  <c r="F106" i="2"/>
  <c r="I106" i="2" s="1"/>
  <c r="F104" i="2"/>
  <c r="L63" i="2"/>
  <c r="L61" i="2"/>
  <c r="L59" i="2"/>
  <c r="L57" i="2"/>
  <c r="L55" i="2"/>
  <c r="L53" i="2"/>
  <c r="L51" i="2"/>
  <c r="L49" i="2"/>
  <c r="L47" i="2"/>
  <c r="L45" i="2"/>
  <c r="L43" i="2"/>
  <c r="L41" i="2"/>
  <c r="B32" i="2"/>
  <c r="C18" i="2"/>
  <c r="E50" i="2"/>
  <c r="F53" i="2"/>
  <c r="G53" i="2" s="1"/>
  <c r="I53" i="2"/>
  <c r="E60" i="2"/>
  <c r="E56" i="2"/>
  <c r="E54" i="2"/>
  <c r="I69" i="2"/>
  <c r="I72" i="2"/>
  <c r="I75" i="2"/>
  <c r="I78" i="2"/>
  <c r="I81" i="2"/>
  <c r="I84" i="2"/>
  <c r="I87" i="2"/>
  <c r="I90" i="2"/>
  <c r="I93" i="2"/>
  <c r="G109" i="2"/>
  <c r="B103" i="2"/>
  <c r="G103" i="2" s="1"/>
  <c r="E106" i="2"/>
  <c r="C108" i="2"/>
  <c r="E111" i="2"/>
  <c r="B113" i="2"/>
  <c r="G113" i="2" s="1"/>
  <c r="C103" i="2"/>
  <c r="E113" i="2"/>
  <c r="D42" i="2"/>
  <c r="D44" i="2"/>
  <c r="D46" i="2"/>
  <c r="D48" i="2"/>
  <c r="D50" i="2"/>
  <c r="D52" i="2"/>
  <c r="D54" i="2"/>
  <c r="D56" i="2"/>
  <c r="D58" i="2"/>
  <c r="D60" i="2"/>
  <c r="D62" i="2"/>
  <c r="E108" i="2"/>
  <c r="B110" i="2"/>
  <c r="I68" i="2"/>
  <c r="I71" i="2"/>
  <c r="I74" i="2"/>
  <c r="I77" i="2"/>
  <c r="I80" i="2"/>
  <c r="I83" i="2"/>
  <c r="I86" i="2"/>
  <c r="I89" i="2"/>
  <c r="I92" i="2"/>
  <c r="E103" i="2"/>
  <c r="B105" i="2"/>
  <c r="G105" i="2" s="1"/>
  <c r="C110" i="2"/>
  <c r="C5" i="2"/>
  <c r="C6" i="2"/>
  <c r="G108" i="2"/>
  <c r="E105" i="2"/>
  <c r="C107" i="2"/>
  <c r="G107" i="2" s="1"/>
  <c r="E110" i="2"/>
  <c r="B112" i="2"/>
  <c r="G112" i="2" s="1"/>
  <c r="C112" i="2"/>
  <c r="C119" i="2"/>
  <c r="B63" i="2"/>
  <c r="F91" i="2" s="1"/>
  <c r="C41" i="2"/>
  <c r="E41" i="2" s="1"/>
  <c r="B28" i="2" s="1"/>
  <c r="C43" i="2"/>
  <c r="E43" i="2" s="1"/>
  <c r="C45" i="2"/>
  <c r="E45" i="2" s="1"/>
  <c r="C47" i="2"/>
  <c r="E47" i="2" s="1"/>
  <c r="C49" i="2"/>
  <c r="E49" i="2" s="1"/>
  <c r="C51" i="2"/>
  <c r="E51" i="2" s="1"/>
  <c r="C53" i="2"/>
  <c r="E53" i="2" s="1"/>
  <c r="C55" i="2"/>
  <c r="E55" i="2" s="1"/>
  <c r="C57" i="2"/>
  <c r="E57" i="2" s="1"/>
  <c r="C59" i="2"/>
  <c r="E59" i="2" s="1"/>
  <c r="C61" i="2"/>
  <c r="E61" i="2" s="1"/>
  <c r="C63" i="2"/>
  <c r="E63" i="2" s="1"/>
  <c r="I70" i="2"/>
  <c r="I73" i="2"/>
  <c r="I76" i="2"/>
  <c r="I79" i="2"/>
  <c r="I82" i="2"/>
  <c r="I85" i="2"/>
  <c r="I88" i="2"/>
  <c r="I91" i="2"/>
  <c r="I94" i="2"/>
  <c r="E107" i="2"/>
  <c r="C109" i="2"/>
  <c r="D41" i="2"/>
  <c r="D45" i="2"/>
  <c r="D55" i="2"/>
  <c r="B104" i="2"/>
  <c r="D57" i="2"/>
  <c r="D59" i="2"/>
  <c r="D61" i="2"/>
  <c r="D63" i="2"/>
  <c r="C104" i="2"/>
  <c r="E109" i="2"/>
  <c r="D43" i="2"/>
  <c r="D47" i="2"/>
  <c r="D49" i="2"/>
  <c r="D51" i="2"/>
  <c r="L42" i="2"/>
  <c r="L44" i="2"/>
  <c r="L46" i="2"/>
  <c r="L48" i="2"/>
  <c r="L50" i="2"/>
  <c r="L52" i="2"/>
  <c r="L54" i="2"/>
  <c r="L56" i="2"/>
  <c r="L58" i="2"/>
  <c r="L60" i="2"/>
  <c r="B106" i="2"/>
  <c r="G106" i="2" s="1"/>
  <c r="H91" i="2" l="1"/>
  <c r="G91" i="2"/>
  <c r="F94" i="2"/>
  <c r="I48" i="2"/>
  <c r="F48" i="2"/>
  <c r="G48" i="2" s="1"/>
  <c r="F47" i="2"/>
  <c r="G47" i="2" s="1"/>
  <c r="I47" i="2"/>
  <c r="I44" i="2"/>
  <c r="F44" i="2"/>
  <c r="G44" i="2" s="1"/>
  <c r="I103" i="2"/>
  <c r="F59" i="2"/>
  <c r="G59" i="2" s="1"/>
  <c r="I59" i="2"/>
  <c r="G110" i="2"/>
  <c r="I107" i="2"/>
  <c r="I58" i="2"/>
  <c r="F58" i="2"/>
  <c r="G58" i="2" s="1"/>
  <c r="F93" i="2"/>
  <c r="G93" i="2" s="1"/>
  <c r="K93" i="2" s="1"/>
  <c r="I52" i="2"/>
  <c r="F52" i="2"/>
  <c r="G52" i="2" s="1"/>
  <c r="F41" i="2"/>
  <c r="G41" i="2" s="1"/>
  <c r="I41" i="2"/>
  <c r="F51" i="2"/>
  <c r="G51" i="2" s="1"/>
  <c r="I51" i="2"/>
  <c r="F71" i="2"/>
  <c r="F43" i="2"/>
  <c r="G43" i="2" s="1"/>
  <c r="I43" i="2"/>
  <c r="I60" i="2"/>
  <c r="F60" i="2"/>
  <c r="G60" i="2" s="1"/>
  <c r="F83" i="2"/>
  <c r="H83" i="2" s="1"/>
  <c r="F57" i="2"/>
  <c r="G57" i="2" s="1"/>
  <c r="I57" i="2"/>
  <c r="F86" i="2"/>
  <c r="G104" i="2"/>
  <c r="I104" i="2" s="1"/>
  <c r="I56" i="2"/>
  <c r="F56" i="2"/>
  <c r="G56" i="2" s="1"/>
  <c r="J88" i="2"/>
  <c r="J85" i="2"/>
  <c r="J82" i="2"/>
  <c r="J91" i="2"/>
  <c r="J79" i="2"/>
  <c r="J76" i="2"/>
  <c r="J73" i="2"/>
  <c r="J70" i="2"/>
  <c r="B120" i="2"/>
  <c r="J94" i="2"/>
  <c r="J92" i="2"/>
  <c r="J89" i="2"/>
  <c r="J86" i="2"/>
  <c r="J83" i="2"/>
  <c r="J80" i="2"/>
  <c r="J77" i="2"/>
  <c r="J74" i="2"/>
  <c r="J71" i="2"/>
  <c r="J68" i="2"/>
  <c r="J93" i="2"/>
  <c r="J90" i="2"/>
  <c r="J87" i="2"/>
  <c r="J84" i="2"/>
  <c r="J81" i="2"/>
  <c r="J78" i="2"/>
  <c r="J75" i="2"/>
  <c r="J72" i="2"/>
  <c r="J69" i="2"/>
  <c r="H103" i="2"/>
  <c r="F89" i="2"/>
  <c r="F55" i="2"/>
  <c r="G55" i="2" s="1"/>
  <c r="I55" i="2"/>
  <c r="G85" i="2"/>
  <c r="K85" i="2" s="1"/>
  <c r="I54" i="2"/>
  <c r="F54" i="2"/>
  <c r="G54" i="2" s="1"/>
  <c r="L94" i="2"/>
  <c r="L91" i="2"/>
  <c r="L88" i="2"/>
  <c r="L85" i="2"/>
  <c r="L82" i="2"/>
  <c r="L79" i="2"/>
  <c r="L76" i="2"/>
  <c r="L73" i="2"/>
  <c r="L70" i="2"/>
  <c r="L92" i="2"/>
  <c r="L89" i="2"/>
  <c r="L86" i="2"/>
  <c r="L83" i="2"/>
  <c r="L80" i="2"/>
  <c r="L77" i="2"/>
  <c r="L74" i="2"/>
  <c r="L71" i="2"/>
  <c r="L68" i="2"/>
  <c r="L93" i="2"/>
  <c r="L90" i="2"/>
  <c r="L87" i="2"/>
  <c r="L84" i="2"/>
  <c r="L81" i="2"/>
  <c r="L78" i="2"/>
  <c r="L75" i="2"/>
  <c r="L72" i="2"/>
  <c r="L69" i="2"/>
  <c r="H105" i="2"/>
  <c r="F92" i="2"/>
  <c r="F69" i="2"/>
  <c r="I109" i="2"/>
  <c r="B27" i="2"/>
  <c r="D120" i="2" s="1"/>
  <c r="F72" i="2"/>
  <c r="I111" i="2"/>
  <c r="F70" i="2"/>
  <c r="F75" i="2"/>
  <c r="F84" i="2"/>
  <c r="I113" i="2"/>
  <c r="H112" i="2"/>
  <c r="I112" i="2" s="1"/>
  <c r="F73" i="2"/>
  <c r="F49" i="2"/>
  <c r="G49" i="2" s="1"/>
  <c r="I49" i="2"/>
  <c r="I46" i="2"/>
  <c r="F46" i="2"/>
  <c r="G46" i="2" s="1"/>
  <c r="I108" i="2"/>
  <c r="F68" i="2"/>
  <c r="F76" i="2"/>
  <c r="F90" i="2"/>
  <c r="F78" i="2"/>
  <c r="I50" i="2"/>
  <c r="F50" i="2"/>
  <c r="G50" i="2" s="1"/>
  <c r="H53" i="2"/>
  <c r="M53" i="2" s="1"/>
  <c r="F74" i="2"/>
  <c r="F82" i="2"/>
  <c r="F81" i="2"/>
  <c r="F87" i="2"/>
  <c r="H87" i="2" s="1"/>
  <c r="M87" i="2" s="1"/>
  <c r="F45" i="2"/>
  <c r="G45" i="2" s="1"/>
  <c r="I45" i="2"/>
  <c r="M83" i="2"/>
  <c r="C32" i="2"/>
  <c r="M91" i="2"/>
  <c r="F79" i="2"/>
  <c r="I42" i="2"/>
  <c r="F42" i="2"/>
  <c r="G42" i="2" s="1"/>
  <c r="I105" i="2"/>
  <c r="F63" i="2"/>
  <c r="G63" i="2" s="1"/>
  <c r="I63" i="2"/>
  <c r="I110" i="2"/>
  <c r="F77" i="2"/>
  <c r="F85" i="2"/>
  <c r="H85" i="2" s="1"/>
  <c r="M85" i="2" s="1"/>
  <c r="F61" i="2"/>
  <c r="G61" i="2" s="1"/>
  <c r="I61" i="2"/>
  <c r="I62" i="2"/>
  <c r="F62" i="2"/>
  <c r="G62" i="2" s="1"/>
  <c r="F80" i="2"/>
  <c r="F88" i="2"/>
  <c r="H59" i="2" l="1"/>
  <c r="M59" i="2" s="1"/>
  <c r="G80" i="2"/>
  <c r="K80" i="2" s="1"/>
  <c r="H80" i="2"/>
  <c r="M80" i="2" s="1"/>
  <c r="H69" i="2"/>
  <c r="M69" i="2" s="1"/>
  <c r="G69" i="2"/>
  <c r="K69" i="2" s="1"/>
  <c r="H86" i="2"/>
  <c r="M86" i="2" s="1"/>
  <c r="G86" i="2"/>
  <c r="K86" i="2" s="1"/>
  <c r="H44" i="2"/>
  <c r="J44" i="2" s="1"/>
  <c r="H42" i="2"/>
  <c r="J42" i="2" s="1"/>
  <c r="H46" i="2"/>
  <c r="J46" i="2" s="1"/>
  <c r="H54" i="2"/>
  <c r="J54" i="2" s="1"/>
  <c r="H51" i="2"/>
  <c r="M51" i="2" s="1"/>
  <c r="J53" i="2"/>
  <c r="H49" i="2"/>
  <c r="M49" i="2" s="1"/>
  <c r="H92" i="2"/>
  <c r="M92" i="2" s="1"/>
  <c r="G92" i="2"/>
  <c r="K92" i="2" s="1"/>
  <c r="H55" i="2"/>
  <c r="M55" i="2" s="1"/>
  <c r="H41" i="2"/>
  <c r="M41" i="2" s="1"/>
  <c r="H72" i="2"/>
  <c r="M72" i="2" s="1"/>
  <c r="G72" i="2"/>
  <c r="K72" i="2" s="1"/>
  <c r="H62" i="2"/>
  <c r="J62" i="2" s="1"/>
  <c r="H73" i="2"/>
  <c r="M73" i="2" s="1"/>
  <c r="G73" i="2"/>
  <c r="K73" i="2" s="1"/>
  <c r="H61" i="2"/>
  <c r="M61" i="2" s="1"/>
  <c r="J50" i="2"/>
  <c r="M50" i="2"/>
  <c r="H50" i="2"/>
  <c r="G87" i="2"/>
  <c r="K87" i="2" s="1"/>
  <c r="H52" i="2"/>
  <c r="J52" i="2" s="1"/>
  <c r="H74" i="2"/>
  <c r="M74" i="2" s="1"/>
  <c r="G74" i="2"/>
  <c r="K74" i="2" s="1"/>
  <c r="C21" i="2"/>
  <c r="H89" i="2"/>
  <c r="M89" i="2" s="1"/>
  <c r="G89" i="2"/>
  <c r="K89" i="2" s="1"/>
  <c r="C121" i="2"/>
  <c r="C120" i="2"/>
  <c r="H57" i="2"/>
  <c r="M57" i="2" s="1"/>
  <c r="J57" i="2"/>
  <c r="H47" i="2"/>
  <c r="M47" i="2" s="1"/>
  <c r="H79" i="2"/>
  <c r="M79" i="2" s="1"/>
  <c r="G79" i="2"/>
  <c r="K79" i="2" s="1"/>
  <c r="D121" i="2"/>
  <c r="D122" i="2"/>
  <c r="J48" i="2"/>
  <c r="M48" i="2"/>
  <c r="H48" i="2"/>
  <c r="H71" i="2"/>
  <c r="M71" i="2" s="1"/>
  <c r="G71" i="2"/>
  <c r="K71" i="2" s="1"/>
  <c r="G77" i="2"/>
  <c r="K77" i="2" s="1"/>
  <c r="H77" i="2"/>
  <c r="M77" i="2" s="1"/>
  <c r="G90" i="2"/>
  <c r="K90" i="2" s="1"/>
  <c r="H90" i="2"/>
  <c r="M90" i="2" s="1"/>
  <c r="H75" i="2"/>
  <c r="M75" i="2" s="1"/>
  <c r="G75" i="2"/>
  <c r="K75" i="2" s="1"/>
  <c r="B121" i="2"/>
  <c r="B122" i="2"/>
  <c r="B123" i="2"/>
  <c r="H60" i="2"/>
  <c r="J60" i="2" s="1"/>
  <c r="H58" i="2"/>
  <c r="J58" i="2" s="1"/>
  <c r="G82" i="2"/>
  <c r="K82" i="2" s="1"/>
  <c r="H82" i="2"/>
  <c r="M82" i="2" s="1"/>
  <c r="H56" i="2"/>
  <c r="M56" i="2" s="1"/>
  <c r="J56" i="2"/>
  <c r="H84" i="2"/>
  <c r="M84" i="2" s="1"/>
  <c r="G84" i="2"/>
  <c r="K84" i="2" s="1"/>
  <c r="G76" i="2"/>
  <c r="K76" i="2" s="1"/>
  <c r="H76" i="2"/>
  <c r="M76" i="2" s="1"/>
  <c r="G70" i="2"/>
  <c r="K70" i="2" s="1"/>
  <c r="H70" i="2"/>
  <c r="M70" i="2" s="1"/>
  <c r="C122" i="2"/>
  <c r="C123" i="2"/>
  <c r="H94" i="2"/>
  <c r="M94" i="2" s="1"/>
  <c r="G94" i="2"/>
  <c r="K94" i="2" s="1"/>
  <c r="G88" i="2"/>
  <c r="K88" i="2" s="1"/>
  <c r="H88" i="2"/>
  <c r="M88" i="2" s="1"/>
  <c r="G78" i="2"/>
  <c r="K78" i="2" s="1"/>
  <c r="H78" i="2"/>
  <c r="M78" i="2" s="1"/>
  <c r="H68" i="2"/>
  <c r="M68" i="2" s="1"/>
  <c r="G68" i="2"/>
  <c r="K68" i="2" s="1"/>
  <c r="H93" i="2"/>
  <c r="M93" i="2" s="1"/>
  <c r="D123" i="2"/>
  <c r="B24" i="2"/>
  <c r="C24" i="2" s="1"/>
  <c r="K91" i="2"/>
  <c r="H45" i="2"/>
  <c r="M45" i="2" s="1"/>
  <c r="M63" i="2"/>
  <c r="J63" i="2"/>
  <c r="H63" i="2"/>
  <c r="G81" i="2"/>
  <c r="K81" i="2" s="1"/>
  <c r="H81" i="2"/>
  <c r="M81" i="2" s="1"/>
  <c r="G83" i="2"/>
  <c r="K83" i="2" s="1"/>
  <c r="H43" i="2"/>
  <c r="M43" i="2" s="1"/>
  <c r="K46" i="2" l="1"/>
  <c r="K58" i="2"/>
  <c r="K44" i="2"/>
  <c r="K54" i="2"/>
  <c r="K42" i="2"/>
  <c r="N59" i="2"/>
  <c r="O59" i="2" s="1"/>
  <c r="N43" i="2"/>
  <c r="O43" i="2" s="1"/>
  <c r="N42" i="2"/>
  <c r="O42" i="2" s="1"/>
  <c r="P42" i="2" s="1"/>
  <c r="Q42" i="2" s="1"/>
  <c r="R42" i="2" s="1"/>
  <c r="N48" i="2"/>
  <c r="O48" i="2" s="1"/>
  <c r="N41" i="2"/>
  <c r="O41" i="2" s="1"/>
  <c r="P41" i="2" s="1"/>
  <c r="K60" i="2"/>
  <c r="K62" i="2"/>
  <c r="K52" i="2"/>
  <c r="J61" i="2"/>
  <c r="J55" i="2"/>
  <c r="K50" i="2"/>
  <c r="C25" i="2"/>
  <c r="C22" i="2"/>
  <c r="M54" i="2"/>
  <c r="M44" i="2"/>
  <c r="N50" i="2" s="1"/>
  <c r="O50" i="2" s="1"/>
  <c r="K48" i="2"/>
  <c r="J51" i="2"/>
  <c r="J43" i="2"/>
  <c r="M58" i="2"/>
  <c r="J47" i="2"/>
  <c r="M46" i="2"/>
  <c r="K63" i="2"/>
  <c r="M52" i="2"/>
  <c r="M62" i="2"/>
  <c r="K56" i="2"/>
  <c r="J41" i="2"/>
  <c r="K57" i="2"/>
  <c r="J49" i="2"/>
  <c r="J45" i="2"/>
  <c r="M60" i="2"/>
  <c r="M42" i="2"/>
  <c r="N63" i="2" s="1"/>
  <c r="O63" i="2" s="1"/>
  <c r="J59" i="2"/>
  <c r="K53" i="2"/>
  <c r="N61" i="2" l="1"/>
  <c r="O61" i="2" s="1"/>
  <c r="K59" i="2"/>
  <c r="N45" i="2"/>
  <c r="O45" i="2" s="1"/>
  <c r="N62" i="2"/>
  <c r="O62" i="2" s="1"/>
  <c r="P62" i="2" s="1"/>
  <c r="Q62" i="2" s="1"/>
  <c r="R62" i="2" s="1"/>
  <c r="K45" i="2"/>
  <c r="N55" i="2"/>
  <c r="O55" i="2" s="1"/>
  <c r="P55" i="2" s="1"/>
  <c r="Q55" i="2" s="1"/>
  <c r="R55" i="2" s="1"/>
  <c r="N52" i="2"/>
  <c r="O52" i="2" s="1"/>
  <c r="P52" i="2" s="1"/>
  <c r="Q52" i="2" s="1"/>
  <c r="R52" i="2" s="1"/>
  <c r="N58" i="2"/>
  <c r="O58" i="2" s="1"/>
  <c r="K55" i="2"/>
  <c r="Q49" i="2"/>
  <c r="R49" i="2" s="1"/>
  <c r="K49" i="2"/>
  <c r="N53" i="2"/>
  <c r="O53" i="2" s="1"/>
  <c r="P59" i="2"/>
  <c r="Q59" i="2" s="1"/>
  <c r="R59" i="2" s="1"/>
  <c r="P43" i="2"/>
  <c r="N44" i="2"/>
  <c r="O44" i="2" s="1"/>
  <c r="P44" i="2" s="1"/>
  <c r="Q44" i="2" s="1"/>
  <c r="R44" i="2" s="1"/>
  <c r="N60" i="2"/>
  <c r="O60" i="2" s="1"/>
  <c r="P60" i="2" s="1"/>
  <c r="Q60" i="2" s="1"/>
  <c r="R60" i="2" s="1"/>
  <c r="N46" i="2"/>
  <c r="O46" i="2" s="1"/>
  <c r="P46" i="2" s="1"/>
  <c r="Q46" i="2" s="1"/>
  <c r="R46" i="2" s="1"/>
  <c r="Q43" i="2"/>
  <c r="R43" i="2" s="1"/>
  <c r="K43" i="2"/>
  <c r="N57" i="2"/>
  <c r="O57" i="2" s="1"/>
  <c r="P57" i="2" s="1"/>
  <c r="Q57" i="2" s="1"/>
  <c r="R57" i="2" s="1"/>
  <c r="K47" i="2"/>
  <c r="N49" i="2"/>
  <c r="O49" i="2" s="1"/>
  <c r="P49" i="2" s="1"/>
  <c r="K61" i="2"/>
  <c r="N54" i="2"/>
  <c r="O54" i="2" s="1"/>
  <c r="P54" i="2" s="1"/>
  <c r="Q54" i="2" s="1"/>
  <c r="R54" i="2" s="1"/>
  <c r="N56" i="2"/>
  <c r="O56" i="2" s="1"/>
  <c r="Q51" i="2"/>
  <c r="R51" i="2" s="1"/>
  <c r="K51" i="2"/>
  <c r="N47" i="2"/>
  <c r="O47" i="2" s="1"/>
  <c r="P48" i="2" s="1"/>
  <c r="Q48" i="2" s="1"/>
  <c r="R48" i="2" s="1"/>
  <c r="Q41" i="2"/>
  <c r="K41" i="2"/>
  <c r="N51" i="2"/>
  <c r="O51" i="2" s="1"/>
  <c r="P51" i="2" s="1"/>
  <c r="P45" i="2" l="1"/>
  <c r="Q45" i="2" s="1"/>
  <c r="R45" i="2" s="1"/>
  <c r="P56" i="2"/>
  <c r="Q56" i="2" s="1"/>
  <c r="R56" i="2" s="1"/>
  <c r="P53" i="2"/>
  <c r="Q53" i="2" s="1"/>
  <c r="R53" i="2" s="1"/>
  <c r="P61" i="2"/>
  <c r="Q61" i="2" s="1"/>
  <c r="R61" i="2" s="1"/>
  <c r="P47" i="2"/>
  <c r="Q47" i="2" s="1"/>
  <c r="R47" i="2" s="1"/>
  <c r="B21" i="2"/>
  <c r="B25" i="2" s="1"/>
  <c r="P50" i="2"/>
  <c r="Q50" i="2" s="1"/>
  <c r="R50" i="2" s="1"/>
  <c r="R41" i="2"/>
  <c r="S44" i="2"/>
  <c r="S42" i="2"/>
  <c r="S43" i="2"/>
  <c r="S41" i="2"/>
  <c r="B23" i="2"/>
  <c r="P58" i="2"/>
  <c r="Q58" i="2" s="1"/>
  <c r="R58" i="2" s="1"/>
  <c r="P63" i="2"/>
  <c r="Q63" i="2" s="1"/>
  <c r="R63" i="2" s="1"/>
  <c r="S56" i="2" l="1"/>
  <c r="S55" i="2"/>
  <c r="B22" i="2"/>
  <c r="S53" i="2"/>
  <c r="S57" i="2"/>
  <c r="S60" i="2"/>
  <c r="S63" i="2"/>
  <c r="S61" i="2"/>
  <c r="B135" i="2"/>
  <c r="B134" i="2"/>
  <c r="S45" i="2"/>
  <c r="S46" i="2"/>
  <c r="S54" i="2"/>
  <c r="S58" i="2"/>
  <c r="S59" i="2"/>
  <c r="S62" i="2"/>
  <c r="S47" i="2"/>
  <c r="S48" i="2"/>
  <c r="S49" i="2"/>
  <c r="S50" i="2"/>
  <c r="S51" i="2"/>
  <c r="S52" i="2"/>
</calcChain>
</file>

<file path=xl/sharedStrings.xml><?xml version="1.0" encoding="utf-8"?>
<sst xmlns="http://schemas.openxmlformats.org/spreadsheetml/2006/main" count="675" uniqueCount="445">
  <si>
    <t>Parameter</t>
  </si>
  <si>
    <t>Unit</t>
  </si>
  <si>
    <t>Value (base case)</t>
  </si>
  <si>
    <t>Low case</t>
  </si>
  <si>
    <t>High case</t>
  </si>
  <si>
    <t>Source</t>
  </si>
  <si>
    <t>Capex complex thb bn</t>
  </si>
  <si>
    <t>THB bn</t>
  </si>
  <si>
    <t>Thai complex proposal, news reports (12 February 2026)</t>
  </si>
  <si>
    <t>Capex park high thb bn</t>
  </si>
  <si>
    <t>Thai park proposal, news reports (12 and 15 May 2026)</t>
  </si>
  <si>
    <t>Capex park low thb bn</t>
  </si>
  <si>
    <t>Thai park proposal, news report (27 March 2026)</t>
  </si>
  <si>
    <t>Claim additional visitors million per year</t>
  </si>
  <si>
    <t>million visits per year</t>
  </si>
  <si>
    <t>Thai government proposal claims, news reports (2026)</t>
  </si>
  <si>
    <t>Claim revenue thb bn</t>
  </si>
  <si>
    <t>Claim share of gdp percent per year</t>
  </si>
  <si>
    <t>percent per year of GDP growth</t>
  </si>
  <si>
    <t>Discount rate eirr standard</t>
  </si>
  <si>
    <t>rate</t>
  </si>
  <si>
    <t>ADB (2017) Guidelines for the Economic Analysis of Projects, paragraph 194 (printed page 53); DOI. http://dx.doi.org/10.22617/TIM178607-2</t>
  </si>
  <si>
    <t>Discount rate eirr social sector</t>
  </si>
  <si>
    <t>Discount rate social nesdc</t>
  </si>
  <si>
    <t>NESDC (2024) Guide to Public Investment Project Appraisal, section 6.2.2 (PDF page 28); range in section 6.2.1 (PDF page 26); URL. https://www.nesdc.go.th/wp-content/uploads/2025/05/article_20241009124821.pdf</t>
  </si>
  <si>
    <t>Discount rate social nesdc pre2025</t>
  </si>
  <si>
    <t>NESDC (2024) Guide to Public Investment Project Appraisal, section 6.2.2 (PDF page 28); URL. https://www.nesdc.go.th/wp-content/uploads/2025/05/article_20241009124821.pdf</t>
  </si>
  <si>
    <t>Conversion factor standard</t>
  </si>
  <si>
    <t>ratio</t>
  </si>
  <si>
    <t>NESDC (2024) Guide to Public Investment Project Appraisal, summary of changes (PDF page 5); used when shadow prices cannot be computed; URL. https://www.nesdc.go.th/wp-content/uploads/2025/05/article_20241009124821.pdf</t>
  </si>
  <si>
    <t>Project life years</t>
  </si>
  <si>
    <t>years</t>
  </si>
  <si>
    <t>NESDC Requirement</t>
  </si>
  <si>
    <t>Wacc financial</t>
  </si>
  <si>
    <t>Attendance million per year</t>
  </si>
  <si>
    <t>NESDC Assumption</t>
  </si>
  <si>
    <t>Incremental share</t>
  </si>
  <si>
    <t>share</t>
  </si>
  <si>
    <t>Displacement share</t>
  </si>
  <si>
    <t>Spend per visit thb</t>
  </si>
  <si>
    <t>THB per incremental visit</t>
  </si>
  <si>
    <t>NESDC Assumption (base and high); Oriental Land Co., Tokyo Disney Resort FY3/2026, on-site spending per guest (low)</t>
  </si>
  <si>
    <t>Domestic retention share</t>
  </si>
  <si>
    <t>Tax share of spend</t>
  </si>
  <si>
    <t>share of net spending</t>
  </si>
  <si>
    <t>NESDC Assumption; VAT rate, Revenue Department, https://www.rd.go.th/english/37732.html</t>
  </si>
  <si>
    <t>Opex thb bn per year</t>
  </si>
  <si>
    <t>THB bn per year</t>
  </si>
  <si>
    <t>Exchange rate thb per usd</t>
  </si>
  <si>
    <t>THB per USD</t>
  </si>
  <si>
    <t>https://app.bot.or.th/BTWS_STAT/statistics/BOTWEBSTAT.aspx?reportID=123&amp;language=ENG</t>
  </si>
  <si>
    <t>Utapao passengers calendar 2024</t>
  </si>
  <si>
    <t>passengers</t>
  </si>
  <si>
    <t>https://datagov.mot.go.th/en/api/3/action/datastore_search?resource_id=3854cc5d-5e79-4450-a29f-2183242fc92c</t>
  </si>
  <si>
    <t>Utapao passengers oct2023 sep2024</t>
  </si>
  <si>
    <t>https://www.uta.co.th/airport-airportcity/airport-terminal</t>
  </si>
  <si>
    <t>Utapao passengers 2019</t>
  </si>
  <si>
    <t>Utapao terminal capacity passengers per year</t>
  </si>
  <si>
    <t>passengers per year</t>
  </si>
  <si>
    <t>U-Tapao Airport and Eastern Aviation City, EEC Office. https://www.eeco.or.th/en/u-tapao-airport-and-eastern-aviation-city/</t>
  </si>
  <si>
    <t>Utapao project max capacity passengers per year</t>
  </si>
  <si>
    <t>Suvarnabhumi passengers 2019</t>
  </si>
  <si>
    <t>https://www.airportthai.co.th/wp-content/uploads/2026/06/ANNUAL-REPORT-2025.pdf</t>
  </si>
  <si>
    <t>Suvarnabhumi passengers calendar 2024</t>
  </si>
  <si>
    <t>https://investor.airportthai.co.th/misc/statistic/2025/20250117-aot-traffic-fiscal-2024-12m.pdf</t>
  </si>
  <si>
    <t>Don mueang passengers calendar 2024</t>
  </si>
  <si>
    <t>Don mueang passengers 2019</t>
  </si>
  <si>
    <t>Don mueang design capacity passengers per year</t>
  </si>
  <si>
    <t>https://donmueang.airportthai.co.th/about-us</t>
  </si>
  <si>
    <t>Aot six airports passengers fy2023</t>
  </si>
  <si>
    <t>https://investor.airportthai.co.th/misc/statistic/2023/20231017-aot-traffic-fiscal-2023-12m.pdf</t>
  </si>
  <si>
    <t>Aot six airports passengers calendar 2024 2025</t>
  </si>
  <si>
    <t>Hotel guesthouse rooms 2022</t>
  </si>
  <si>
    <t>rooms</t>
  </si>
  <si>
    <t>Statistical Yearbook Thailand 2024, Table 17.4 Principal Statistics on Hotels and Guest House Establishment (NSO). https://www.nso.go.th/public/e-book/Statistical-Yearbook/SYB-2024/543</t>
  </si>
  <si>
    <t>Hotel guesthouse establishments 2022</t>
  </si>
  <si>
    <t>establishments</t>
  </si>
  <si>
    <t>Statistical Yearbook Thailand 2024, Table 17.4 (NSO). https://www.nso.go.th/public/e-book/Statistical-Yearbook/SYB-2024/543</t>
  </si>
  <si>
    <t>Hotel guesthouse rooms 2019</t>
  </si>
  <si>
    <t>https://www.nso.go.th/public/e-book/Statistical-Yearbook/SYB-2024/532</t>
  </si>
  <si>
    <t>Chonburi accommodation rooms 2024 or 2025</t>
  </si>
  <si>
    <t>CBRE, Pattaya Overall Figures H2 2024, https://www.cbre.com/insights/figures/pattaya-overall-figures-h2-2024</t>
  </si>
  <si>
    <t>Pattaya hotel keys h2 2024</t>
  </si>
  <si>
    <t>hotel keys (rooms)</t>
  </si>
  <si>
    <t>Pattaya Overall Figures H2 2024, CBRE Thailand. https://www.cbre.com/insights/figures/pattaya-overall-figures-h2-2024</t>
  </si>
  <si>
    <t>Pattaya hotel keys h2 2025</t>
  </si>
  <si>
    <t>Pattaya Overall Figures H2 2025, CBRE. https://www.cbre.com/insights/figures/pattaya-overall-figures-h2-2025</t>
  </si>
  <si>
    <t>Pattaya occupancy 2024 cbre</t>
  </si>
  <si>
    <t>percent</t>
  </si>
  <si>
    <t>Chonburi occupancy 2024 tat</t>
  </si>
  <si>
    <t>https://www.nso.go.th/nsoweb/downloadFile/stat_main_nso/FgpN/file_th</t>
  </si>
  <si>
    <t>Pattaya occupancy 2025</t>
  </si>
  <si>
    <t>percent (H2 2025 only)</t>
  </si>
  <si>
    <t>https://mktgdocs.cbre.com/2299/175bc843-73b5-4940-a859-14bd0f57a6a1-1295998069/Pattaya-Overall-Figures-H2-202.pdf</t>
  </si>
  <si>
    <t>Chonburi occupancy 2019 tat</t>
  </si>
  <si>
    <t>No external source located</t>
  </si>
  <si>
    <t>Chonburi tourists jan nov 2024</t>
  </si>
  <si>
    <t>persons</t>
  </si>
  <si>
    <t>Chonburi foreign visitors jan nov 2024</t>
  </si>
  <si>
    <t>Chonburi foreign arrivals 2024 full year</t>
  </si>
  <si>
    <t>https://intelligencecenter.tat.or.th/articles/9907</t>
  </si>
  <si>
    <t>Chonburi foreign arrivals 2019</t>
  </si>
  <si>
    <t>Utapao expansion progress overall percent</t>
  </si>
  <si>
    <t>percent complete</t>
  </si>
  <si>
    <t>https://www.eeco.or.th/en/u-tapao-airport-and-eastern-aviation-city/</t>
  </si>
  <si>
    <t>Utapao expansion opening year</t>
  </si>
  <si>
    <t>calendar year</t>
  </si>
  <si>
    <t>https://www.britishaviationgroup.co.uk/?p=24880</t>
  </si>
  <si>
    <t>High speed rail full service year eeco</t>
  </si>
  <si>
    <t>High-speed rail linking three airports, EEC Office. https://www.eeco.or.th/en/high-speed-rail-linking-three-airports/</t>
  </si>
  <si>
    <t>High speed rail full service year wikipedia</t>
  </si>
  <si>
    <t>Don Mueang-Suvarnabhumi-U-Tapao high-speed railway, Wikipedia. https://en.wikipedia.org/wiki/Don_Mueang%E2%80%93Suvarnabhumi%E2%80%93U-Tapao_high-speed_railway</t>
  </si>
  <si>
    <t>High speed rail status sep 2026</t>
  </si>
  <si>
    <t>text</t>
  </si>
  <si>
    <t>Uttapao and High-Speed Rail: EEC's Make-or-Break Infrastructure Bet, Nation Thailand (7 Sep 2026). https://www.nationthailand.com/business/economy/40070765</t>
  </si>
  <si>
    <t>Motorway7 utapao extension length km</t>
  </si>
  <si>
    <t>kilometres</t>
  </si>
  <si>
    <t>ADB news release, Thailand EEC infrastructure, 6 June 2025. https://www.adb.org/news/adb-supports-resilient-infrastructure-development-eastern-thailand</t>
  </si>
  <si>
    <t>Motorway7 utapao extension completion year</t>
  </si>
  <si>
    <t>https://www.thansettakij.com/economy/megaproject/630463</t>
  </si>
  <si>
    <t>Pattaya map ta phut motorway7 opening year</t>
  </si>
  <si>
    <t>calendar year (opened August 2020)</t>
  </si>
  <si>
    <t>Thai Prime Minister opens Pattaya-Map Ta Phut Highway, Pattaya Mail (24 Aug 2020). https://www.pattayamail.com/news/thai-prime-minister-opens-pattaya-map-ta-phut-highway-312223</t>
  </si>
  <si>
    <t>Tat spend per trip all nationalities 2023</t>
  </si>
  <si>
    <t>THB per trip</t>
  </si>
  <si>
    <t>Tat spend per trip middle eastern 2023</t>
  </si>
  <si>
    <t>THB per person per trip</t>
  </si>
  <si>
    <t>Tat spend per day uae 2023</t>
  </si>
  <si>
    <t>THB per person per day</t>
  </si>
  <si>
    <t>Tat spend per night by nationality 2024 2025</t>
  </si>
  <si>
    <t>THB per person per night</t>
  </si>
  <si>
    <t>Tat spend per trip by nationality 2024 2025 official</t>
  </si>
  <si>
    <t>https://www.tatnews.org/?p=84576</t>
  </si>
  <si>
    <t>Mots spend per trip all tourists 2019</t>
  </si>
  <si>
    <t>THB per international tourist per trip</t>
  </si>
  <si>
    <t>https://www.mots.go.th/download/article/article_20200123132729.pdf</t>
  </si>
  <si>
    <t>Mots spend per day all tourists 2019</t>
  </si>
  <si>
    <t>THB per international tourist per day</t>
  </si>
  <si>
    <t>https://www.mots.go.th/download/article/article_20201104090605.pdf</t>
  </si>
  <si>
    <t>Intl avg length of stay 2016 days</t>
  </si>
  <si>
    <t>days</t>
  </si>
  <si>
    <t>https://www.nso.go.th/public/e-book/Indicators-Economic/Indicators-Economic-2562/files/assets/basic-html/page134.html</t>
  </si>
  <si>
    <t>Intl avg length of stay 2024 days</t>
  </si>
  <si>
    <t>https://www.mots.go.th/images/v2022_c1331820-8936-4423-84cd-65278cebf658.xlsx</t>
  </si>
  <si>
    <t>Intl first visit share 2024</t>
  </si>
  <si>
    <t>percent of international arrivals on first visit</t>
  </si>
  <si>
    <t>Thai domestic spend per trip 2024</t>
  </si>
  <si>
    <t>THB per person per domestic trip</t>
  </si>
  <si>
    <t>Thai resident attraction visit share 2024</t>
  </si>
  <si>
    <t>percent of attraction visits by Thai residents</t>
  </si>
  <si>
    <t>Intl arrivals 2025</t>
  </si>
  <si>
    <t>https://www.mots.go.th/images/v2022_5a7fbad7-1fcf-4410-a387-f29bb17486e2.xlsx</t>
  </si>
  <si>
    <t>Intl arrivals 2024</t>
  </si>
  <si>
    <t>https://www.mots.go.th/images/v2022_875a5789-3bcc-4700-bf55-b86fa7f1053c.xlsx</t>
  </si>
  <si>
    <t>Intl arrivals 2019</t>
  </si>
  <si>
    <t>https://www.mots.go.th/download/article/article_20201103140333.xlsx</t>
  </si>
  <si>
    <t>Intl arrivals 2020</t>
  </si>
  <si>
    <t>https://www.nso.go.th/public/e-book/Indicators-Economic/Thai_Economic_Indicators_2025/158</t>
  </si>
  <si>
    <t>Intl tourism receipts 2025 mots</t>
  </si>
  <si>
    <t>Intl tourism receipts 2024 mots</t>
  </si>
  <si>
    <t>Intl tourism receipts usd wdi 2019</t>
  </si>
  <si>
    <t>US$ bn</t>
  </si>
  <si>
    <t>World Bank API, indicator ST.INT.TVLR.CD (international tourism receipts for travel items), Thailand. https://api.worldbank.org/v2/country/THA/indicator/ST.INT.TVLR.CD?format=json&amp;date=2015:2025&amp;per_page=100</t>
  </si>
  <si>
    <t>Intl tourism receipts usd wdi 2020</t>
  </si>
  <si>
    <t>Intl tourism receipts bot thb bn 2019 2025</t>
  </si>
  <si>
    <t>Ticket price ocean park adult hkd</t>
  </si>
  <si>
    <t>HK$ per adult admission</t>
  </si>
  <si>
    <t>Australasian Leisure Management, Ocean Park entrance prices (2019), https://www.ausleisure.com.au/news/entrance-prices-at-hong-kongs-ocean-park-rise-by-4</t>
  </si>
  <si>
    <t>Ticket price universal studios singapore adult sgd</t>
  </si>
  <si>
    <t>SGD per adult ticket</t>
  </si>
  <si>
    <t>https://www.rwsentosa.com/en/play/universal-studios-singapore/tickets</t>
  </si>
  <si>
    <t>Tsa attraction recreation spending share 2022</t>
  </si>
  <si>
    <t>percent of visitor spending on attractions or recreation</t>
  </si>
  <si>
    <t>Hk disneyland attendance fy2019</t>
  </si>
  <si>
    <t>million visitors</t>
  </si>
  <si>
    <t>https://hkcorporate.hongkongdisneyland.com/pdf/AnnualBusinessReview19.pdf</t>
  </si>
  <si>
    <t>Hk disneyland attendance fy2024</t>
  </si>
  <si>
    <t>https://hkcorporate.hongkongdisneyland.com/pdf/AnnualBusinessReview24.pdf</t>
  </si>
  <si>
    <t>Hk disneyland attendance fy2025</t>
  </si>
  <si>
    <t>https://news.hongkongdisneyland.com/en/press/2026-04-28/</t>
  </si>
  <si>
    <t>Hk disneyland revenue fy2025 hkd m</t>
  </si>
  <si>
    <t>HK$ million</t>
  </si>
  <si>
    <t>https://hkcorporate.hongkongdisneyland.com/pdf/AnnualBusinessReview25.pdf</t>
  </si>
  <si>
    <t>Hk disneyland net profit fy2025 hkd m</t>
  </si>
  <si>
    <t>Hk disneyland adult ticket tier1 hkd</t>
  </si>
  <si>
    <t>HK$ per adult ticket</t>
  </si>
  <si>
    <t>https://www.hongkongdisneyland.com/offers-discounts/travel-industry-salute/</t>
  </si>
  <si>
    <t>Hk disneyland adult ticket tier4 peak hkd</t>
  </si>
  <si>
    <t>Hk disneyland visitor share local fy2019</t>
  </si>
  <si>
    <t>percent of attendance</t>
  </si>
  <si>
    <t>Hk disneyland visitor share mainland fy2019</t>
  </si>
  <si>
    <t>Hk disneyland visitor share other fy2019</t>
  </si>
  <si>
    <t>Ocean park attendance fy2024 25</t>
  </si>
  <si>
    <t>https://corporate.oceanpark.com.hk/en/media-partnerships/press-release/</t>
  </si>
  <si>
    <t>Ocean park non local visitors fy2024 25</t>
  </si>
  <si>
    <t>Ocean park attendance fy2018 19</t>
  </si>
  <si>
    <t>Ocean Park announces financial results for fiscal year ending 30 June 2019, attendance paragraph. https://www.oceanpark.com.hk/en/press-release/ocean-park-announces-financial-results-for-fiscal-year-ending-30-june-2019</t>
  </si>
  <si>
    <t>Ocean park revenue fy2024 25 hkd m</t>
  </si>
  <si>
    <t>https://www.thestandard.com.hk/news/article/314853/Ocean-Park-reports-2747mn-losses-despite-revenue-growth-driven-by-giant-pandas</t>
  </si>
  <si>
    <t>Ocean park net loss fy2024 25 hkd m</t>
  </si>
  <si>
    <t>Ocean park revenue fy2018 19 hkd m</t>
  </si>
  <si>
    <t>Ocean Park announces financial results for fiscal year ending 30 June 2019, results announcement. https://www.oceanpark.com.hk/en/press-release/ocean-park-announces-financial-results-for-fiscal-year-ending-30-june-2019</t>
  </si>
  <si>
    <t>Ocean park total operating expenses fy2024 25 hkd m</t>
  </si>
  <si>
    <t>Derived from Ocean Park FY2024/25 revenue and net loss, https://corporate.oceanpark.com.hk/en/media-partnerships/press-release/</t>
  </si>
  <si>
    <t>Ocean park total operating expenses fy2018 19 hkd m</t>
  </si>
  <si>
    <t>Ocean Park Corporation, Annual Report 2018-2019, Income and Expenditure Account (printed p.79). https://media.oceanpark.com.hk/files/s3fs-public/ophk_ar18-19.pdf</t>
  </si>
  <si>
    <t>Ocean park adult admission 2019 hkd</t>
  </si>
  <si>
    <t>Universal studios singapore attendance 2024 million</t>
  </si>
  <si>
    <t>Lotte world adult ticket 2026 krw</t>
  </si>
  <si>
    <t>KRW per adult ticket (full-day pass)</t>
  </si>
  <si>
    <t>SBS Biz, Lotte World to raise adult ticket price, article dated 17 March 2026, lead paragraph. https://biz.sbs.co.kr/amp/article/20000297877</t>
  </si>
  <si>
    <t>Lotte world visitors 2023 million</t>
  </si>
  <si>
    <t>million persons</t>
  </si>
  <si>
    <t>https://know.tour.go.kr/ptourknow/tourgoInfoView19Re.do?seq=103270</t>
  </si>
  <si>
    <t>Lotte world visitors 2024 million</t>
  </si>
  <si>
    <t>https://know.tour.go.kr/stat/visitStatDis/rankingStat.do</t>
  </si>
  <si>
    <t>Shanghai disneyland attendance 2024 million</t>
  </si>
  <si>
    <t>Shanghai Municipal Government news, Shanghai Disneyland secures global top 5 position with record attendance, 27 October 2025, body paragraph on attendance. https://english.shanghai.gov.cn/en-Latest-WhatsNew/20251027/63097f5dd6ff4d2dad7e736573ead8d6.html</t>
  </si>
  <si>
    <t>Shanghai disneyland attendance 2019 million</t>
  </si>
  <si>
    <t>TEA and AECOM Theme Index 2019, Top 25 table, rank 10, https://blooloop.com/files/75972/tea-report-2019.pdf</t>
  </si>
  <si>
    <t>Thailand 10y government bond yield 2026 10 14</t>
  </si>
  <si>
    <t>rate per year</t>
  </si>
  <si>
    <t>Corporate income tax rate standard</t>
  </si>
  <si>
    <t>rate of net profit</t>
  </si>
  <si>
    <t>Revenue Department, corporate income tax, https://www.rd.go.th/english/6044.html</t>
  </si>
  <si>
    <t>Vat statutory rate</t>
  </si>
  <si>
    <t>https://www.rd.go.th/english/37732.html</t>
  </si>
  <si>
    <t>Vat reduced rate 2026 2027</t>
  </si>
  <si>
    <t>rate, including local tax</t>
  </si>
  <si>
    <t>KPMG TaxNewsFlash, same article, first paragraph on Royal Decree No. 807. Temporary reduced rate for 1 October 2026 to 30 September 2027. It must be checked again after 30 September 2027.</t>
  </si>
  <si>
    <t>Adb economic horizon years low</t>
  </si>
  <si>
    <t>ADB (2017) Guidelines for the Economic Analysis of Projects, printed pages 47 to 48, paragraph 176. https://www.adb.org/sites/default/files/institutional-document/32256/economic-analysis-projects.pdf</t>
  </si>
  <si>
    <t>Adb economic horizon years high</t>
  </si>
  <si>
    <t>Adb dam railway operating years low</t>
  </si>
  <si>
    <t>ADB (2017), printed page 64, Appendix 3, paragraph 2. https://www.adb.org/sites/default/files/institutional-document/32256/economic-analysis-projects.pdf</t>
  </si>
  <si>
    <t>Adb dam railway operating years high</t>
  </si>
  <si>
    <t>Adb irrigation scheme life years</t>
  </si>
  <si>
    <t>ADB (2017), printed page 126, Appendix 16. https://www.adb.org/sites/default/files/institutional-document/32256/economic-analysis-projects.pdf</t>
  </si>
  <si>
    <t>Adb processing plant operating years</t>
  </si>
  <si>
    <t>ADB (2017), printed page 65, Appendix 3, paragraph 6. https://www.adb.org/sites/default/files/institutional-document/32256/economic-analysis-projects.pdf</t>
  </si>
  <si>
    <t>Adb illustrative implementation years</t>
  </si>
  <si>
    <t>Adb replacement period construction years</t>
  </si>
  <si>
    <t>ADB (2017), printed page 67, Table A3, construction line of the illustrative project statement. https://www.adb.org/sites/default/files/institutional-document/32256/economic-analysis-projects.pdf</t>
  </si>
  <si>
    <t>Adb replacement period equipment years</t>
  </si>
  <si>
    <t>ADB (2017), printed page 67, Table A3, equipment line of the illustrative project statement. https://www.adb.org/sites/default/files/institutional-document/32256/economic-analysis-projects.pdf</t>
  </si>
  <si>
    <t>Adb replacement period vehicles years</t>
  </si>
  <si>
    <t>ADB (2017), printed page 67, Table A3, vehicles line of the illustrative project statement. https://www.adb.org/sites/default/files/institutional-document/32256/economic-analysis-projects.pdf</t>
  </si>
  <si>
    <t>Adb working life sensitivity years</t>
  </si>
  <si>
    <t>ADB (2017), printed pages 142 and 143, Appendix 19. https://www.adb.org/sites/default/files/institutional-document/32256/economic-analysis-projects.pdf</t>
  </si>
  <si>
    <t>Adb gas deposit resource life years</t>
  </si>
  <si>
    <t>ADB (2017), printed page 98, Table A10. https://www.adb.org/sites/default/files/institutional-document/32256/economic-analysis-projects.pdf</t>
  </si>
  <si>
    <t>Adb shadow exchange rate factor illustrative</t>
  </si>
  <si>
    <t>ADB (2017), printed pages 126 and 128, Table A16.2, irrigation case. https://www.adb.org/sites/default/files/institutional-document/32256/economic-analysis-projects.pdf</t>
  </si>
  <si>
    <t>Adb shadow wage rate factor illustrative</t>
  </si>
  <si>
    <t>ADB (2017), printed page 90, Table A8. https://www.adb.org/sites/default/files/institutional-document/32256/economic-analysis-projects.pdf</t>
  </si>
  <si>
    <t>Nesdc social discount rate range low</t>
  </si>
  <si>
    <t>NESDC (2024) Guide to Public Investment Project Appraisal, section 6.2.1, PDF page 26. https://www.nesdc.go.th/wp-content/uploads/2025/05/article_20241009124821.pdf</t>
  </si>
  <si>
    <t>Nesdc social discount rate range high</t>
  </si>
  <si>
    <t>Nesdc permanent asset threshold years</t>
  </si>
  <si>
    <t>NESDC (2024) Guide to Public Investment Project Appraisal, definition of a permanent asset, PDF pages 58 and 64. https://www.nesdc.go.th/wp-content/uploads/2025/05/article_20241009124821.pdf</t>
  </si>
  <si>
    <t>Tourism asset life years</t>
  </si>
  <si>
    <t>Asset useful life by type nesdc years</t>
  </si>
  <si>
    <t>https://www.rd.go.th/english/6044.html</t>
  </si>
  <si>
    <t>Intl arrivals 2021</t>
  </si>
  <si>
    <t>Intl arrivals 2022</t>
  </si>
  <si>
    <t>Intl arrivals 2023</t>
  </si>
  <si>
    <t>Intl avg length of stay 2017 days</t>
  </si>
  <si>
    <t>Hk disneyland costs and expenses fy2025 hkd m</t>
  </si>
  <si>
    <t>Hong Kong Disneyland Annual Business Review FY2025, https://hkcorporate.hongkongdisneyland.com/pdf/AnnualBusinessReview25.pdf</t>
  </si>
  <si>
    <t>Hk disneyland depreciation fy2025 hkd m</t>
  </si>
  <si>
    <t>Hk disneyland noncurrent assets fy2025 hkd m</t>
  </si>
  <si>
    <t>Hk disneyland hotel rooms fy2025</t>
  </si>
  <si>
    <t>Hong Kong Disneyland Annual Business Review FY2025, operational highlights, paragraph 9</t>
  </si>
  <si>
    <t>Hk disneyland hotel occupancy fy2025</t>
  </si>
  <si>
    <t>Hong Kong Disneyland Annual Business Review FY2025, key revenue drivers table</t>
  </si>
  <si>
    <t>Bot hkd thb mid rate 19oct2026</t>
  </si>
  <si>
    <t>THB per HKD</t>
  </si>
  <si>
    <t>Bank of Thailand, commercial bank exchange rates (FM_FX_001_S3), Hong Kong dollar mid rate. https://app.bot.or.th/BTWS_STAT/statistics/BOTWEBSTAT.aspx?reportID=123&amp;language=ENG</t>
  </si>
  <si>
    <t>Cbre pattaya adr h2 2025 thb</t>
  </si>
  <si>
    <t>THB per room night</t>
  </si>
  <si>
    <t>CBRE, Pattaya Overall Figures H2 2025. https://mktgdocs.cbre.com/2299/175bc843-73b5-4940-a859-14bd0f57a6a1-1295998069/Pattaya-Overall-Figures-H2-202.pdf</t>
  </si>
  <si>
    <t>Cbre pattaya occupancy h2 2025</t>
  </si>
  <si>
    <t>Construction years</t>
  </si>
  <si>
    <t>ADB (2017) Guidelines, Appendix 3 illustrative implementation period, https://www.adb.org/sites/default/files/institutional-document/32256/economic-analysis-projects.pdf</t>
  </si>
  <si>
    <t>International share</t>
  </si>
  <si>
    <t>share of attendance</t>
  </si>
  <si>
    <t>Hong Kong Disneyland Annual Business Review FY2019, origin of visitors, https://hkcorporate.hongkongdisneyland.com/pdf/AnnualBusinessReview19.pdf</t>
  </si>
  <si>
    <t>Opex share</t>
  </si>
  <si>
    <t>ratio of revenue</t>
  </si>
  <si>
    <t>Ticket revenue per visit thb</t>
  </si>
  <si>
    <t>THB per visit</t>
  </si>
  <si>
    <t>Hong Kong Disneyland adult ticket tier 1, https://www.hongkongdisneyland.com/offers-discounts/travel-industry-salute/</t>
  </si>
  <si>
    <t>Nights per stay</t>
  </si>
  <si>
    <t>nights</t>
  </si>
  <si>
    <t>Guests per room</t>
  </si>
  <si>
    <t>guests per occupied room</t>
  </si>
  <si>
    <t>Movements per visit</t>
  </si>
  <si>
    <t>passenger movements per visit</t>
  </si>
  <si>
    <t>Current airport use passengers per year</t>
  </si>
  <si>
    <t>U-Tapao air traffic statistics, budget year 2024, https://www.uta.co.th/airport-airportcity/airport-terminal</t>
  </si>
  <si>
    <t>Planned airport addition passengers per year</t>
  </si>
  <si>
    <t>Public cost after construction thb bn per year</t>
  </si>
  <si>
    <t>Rooms serving site</t>
  </si>
  <si>
    <t>Occupancy serving site</t>
  </si>
  <si>
    <t>National Statistical Office, Table 17.1, https://www.nso.go.th/nsoweb/downloadFile/stat_main_nso/FgpN/file_th</t>
  </si>
  <si>
    <t>Occupancy ceiling serving site</t>
  </si>
  <si>
    <t>Park-only operator inputs</t>
  </si>
  <si>
    <t>Park-only capital cost</t>
  </si>
  <si>
    <t>Nation Thailand, 12 February 2026, https://www.nationthailand.com/blogs/business/investment/40062428</t>
  </si>
  <si>
    <t>Replacement capex, share of capital per operating year</t>
  </si>
  <si>
    <t>Hong Kong depreciation share of noncurrent assets</t>
  </si>
  <si>
    <t>share per year</t>
  </si>
  <si>
    <t>Corporate income tax rate</t>
  </si>
  <si>
    <t>Tax depreciation years</t>
  </si>
  <si>
    <t>Park-only operator financial appraisal (THB billion unless stated)</t>
  </si>
  <si>
    <t>Park-only</t>
  </si>
  <si>
    <t>Complex, 300 bn</t>
  </si>
  <si>
    <t>Cash operating cost, share of revenue</t>
  </si>
  <si>
    <t>WACC</t>
  </si>
  <si>
    <t>Operating life (years)</t>
  </si>
  <si>
    <t>Capital cost (THB bn)</t>
  </si>
  <si>
    <t>Attendance (million visits a year)</t>
  </si>
  <si>
    <t>International share of attendance</t>
  </si>
  <si>
    <t>Physical visit cap (million visits a year)</t>
  </si>
  <si>
    <t>Ticket revenue per visit (THB)</t>
  </si>
  <si>
    <t>Operator visits per operating year (million)</t>
  </si>
  <si>
    <t>Operator revenue per operating year (THB bn)</t>
  </si>
  <si>
    <t>On-site income included (1 = yes)</t>
  </si>
  <si>
    <t>Results</t>
  </si>
  <si>
    <t>Operator NPV before tax at WACC (THB bn)</t>
  </si>
  <si>
    <t>Operator NPV after tax (THB bn)</t>
  </si>
  <si>
    <t>Operator IRR after tax</t>
  </si>
  <si>
    <t>n/a</t>
  </si>
  <si>
    <t>Break-even capital cost (THB bn)</t>
  </si>
  <si>
    <t>Break-even attendance (million visits a year)</t>
  </si>
  <si>
    <t>Annuity factor over operating years</t>
  </si>
  <si>
    <t>Present value of capital cost (THB bn)</t>
  </si>
  <si>
    <t>Tax depreciation covers the operating life</t>
  </si>
  <si>
    <t>Annual ledger, park-only</t>
  </si>
  <si>
    <t>Year</t>
  </si>
  <si>
    <t>Discount factor</t>
  </si>
  <si>
    <t>Construction</t>
  </si>
  <si>
    <t>Operating</t>
  </si>
  <si>
    <t>Capital cost</t>
  </si>
  <si>
    <t>Operator visits (million)</t>
  </si>
  <si>
    <t>Revenue</t>
  </si>
  <si>
    <t>Cash operating cost</t>
  </si>
  <si>
    <t>Replacement capex</t>
  </si>
  <si>
    <t>Cash flow before tax</t>
  </si>
  <si>
    <t>Present value before tax</t>
  </si>
  <si>
    <t>Tax depreciation</t>
  </si>
  <si>
    <t>Taxable income</t>
  </si>
  <si>
    <t>Cumulative taxable income</t>
  </si>
  <si>
    <t>Cumulative tax due</t>
  </si>
  <si>
    <t>Tax paid</t>
  </si>
  <si>
    <t>Cash flow after tax</t>
  </si>
  <si>
    <t>Present value after tax</t>
  </si>
  <si>
    <t>Cumulative cash flow after tax</t>
  </si>
  <si>
    <t>Sensitivity cases</t>
  </si>
  <si>
    <t>Case</t>
  </si>
  <si>
    <t>Capital cost factor</t>
  </si>
  <si>
    <t>Opex factor</t>
  </si>
  <si>
    <t>Revenue factor</t>
  </si>
  <si>
    <t>Opening delay (years)</t>
  </si>
  <si>
    <t>Annuity factor</t>
  </si>
  <si>
    <t>NPV before tax, park-only</t>
  </si>
  <si>
    <t>NPV before tax, complex (reference)</t>
  </si>
  <si>
    <t>Replacement share</t>
  </si>
  <si>
    <t>Taxable income, park-only</t>
  </si>
  <si>
    <t>NPV after tax, park-only</t>
  </si>
  <si>
    <t>Taxable income, complex</t>
  </si>
  <si>
    <t>NPV after tax, complex</t>
  </si>
  <si>
    <t>Chart label</t>
  </si>
  <si>
    <t>Base</t>
  </si>
  <si>
    <t>Construction cost +5%</t>
  </si>
  <si>
    <t>Construction cost -5%</t>
  </si>
  <si>
    <t>Construction cost +10%</t>
  </si>
  <si>
    <t>Construction cost -10%</t>
  </si>
  <si>
    <t>Construction cost +20%</t>
  </si>
  <si>
    <t>Construction cost -20%</t>
  </si>
  <si>
    <t>Operating cost +5%</t>
  </si>
  <si>
    <t>Operating cost -5%</t>
  </si>
  <si>
    <t>Operating cost +10%</t>
  </si>
  <si>
    <t>Operating cost -10%</t>
  </si>
  <si>
    <t>Operating cost +20%</t>
  </si>
  <si>
    <t>Operating cost -20%</t>
  </si>
  <si>
    <t>Revenue +5%</t>
  </si>
  <si>
    <t>Revenue -5%</t>
  </si>
  <si>
    <t>Revenue +10%</t>
  </si>
  <si>
    <t>Revenue -10%</t>
  </si>
  <si>
    <t>Revenue +20%</t>
  </si>
  <si>
    <t>Revenue -20%</t>
  </si>
  <si>
    <t>Cost +5%, revenue -5%</t>
  </si>
  <si>
    <t>Cost -5%, revenue +5%</t>
  </si>
  <si>
    <t>Cost +10%, revenue -10%</t>
  </si>
  <si>
    <t>Cost -10%, revenue +10%</t>
  </si>
  <si>
    <t>Cost +20%, revenue -20%</t>
  </si>
  <si>
    <t>Cost -20%, revenue +20%</t>
  </si>
  <si>
    <t>One-year opening delay</t>
  </si>
  <si>
    <t>Replacement at HK depreciation share</t>
  </si>
  <si>
    <t>Scenarios (NPV before tax, THB bn)</t>
  </si>
  <si>
    <t>Scenario</t>
  </si>
  <si>
    <t>On-site income (1 = yes)</t>
  </si>
  <si>
    <t>Revenue (THB bn a year)</t>
  </si>
  <si>
    <t>Capital present value</t>
  </si>
  <si>
    <t>NPV before tax (THB bn)</t>
  </si>
  <si>
    <t>Park-only, ticket and on-site revenue</t>
  </si>
  <si>
    <t>Ticket revenue only</t>
  </si>
  <si>
    <t>Operating life 30 years</t>
  </si>
  <si>
    <t>Operating life 40 years</t>
  </si>
  <si>
    <t>WACC 6%</t>
  </si>
  <si>
    <t>WACC 7%</t>
  </si>
  <si>
    <t>WACC 10%</t>
  </si>
  <si>
    <t>Replacement at Hong Kong depreciation share</t>
  </si>
  <si>
    <t>Operating life 30 years, replacement at HK share</t>
  </si>
  <si>
    <t>Ticket revenue only, replacement at HK share</t>
  </si>
  <si>
    <t>Ticket revenue only, life 30 years, replacement at HK share</t>
  </si>
  <si>
    <t>Two-way sensitivity: NPV before tax (THB bn), capital cost by cash operating cost share</t>
  </si>
  <si>
    <t>Capital cost (THB bn) / cost share</t>
  </si>
  <si>
    <t>Attendance benchmarks (million visits a year)</t>
  </si>
  <si>
    <t>Park</t>
  </si>
  <si>
    <t>Attendance (million)</t>
  </si>
  <si>
    <t>Magic Kingdom (Walt Disney World)</t>
  </si>
  <si>
    <t>2024</t>
  </si>
  <si>
    <t>TEA/AECOM ranking, reported by Disney Food Blog, 23 October 2025: https://disneyfoodblog.com/2025/10/23/magic-kingdom-is-the-1-most-visited-theme-park-in-the-world-but-the-rest-of-the-list-may-surprise-you</t>
  </si>
  <si>
    <t>Disneyland Park (California)</t>
  </si>
  <si>
    <t>TEA/AECOM ranking, summarised by BGT Safari, 11 November 2025: https://bgtsafari.com/2025/11/11/the-tea-rankings-are-out-of-for-the-top-25-theme-parks-worldwide-and-almost-half-are-in-asia/</t>
  </si>
  <si>
    <t>Hong Kong Disneyland</t>
  </si>
  <si>
    <t>FY2025</t>
  </si>
  <si>
    <t>Hong Kong Disneyland press release, 28 April 2026: https://news.hongkongdisneyland.com/en/press/2026-04-28/</t>
  </si>
  <si>
    <t>Shanghai Disneyland (approximate)</t>
  </si>
  <si>
    <t>2023</t>
  </si>
  <si>
    <t>TEA/AECOM 2023 theme index (approximate)</t>
  </si>
  <si>
    <t>Tokyo Disney Resort (two parks)</t>
  </si>
  <si>
    <t>No verified figure</t>
  </si>
  <si>
    <t>Primary break-even attendance (million visits a year)</t>
  </si>
  <si>
    <t>Multiple of Magic Kingdom attendance</t>
  </si>
  <si>
    <t>Park-only operator appraisal: charts</t>
  </si>
  <si>
    <t>Capital outflow, absolute (THB bn)</t>
  </si>
  <si>
    <t>Operating cash flow (THB bn)</t>
  </si>
  <si>
    <t>Cumulative cash flow over the operating life, before tax (THB bn)</t>
  </si>
  <si>
    <t>Years of operation needed for nominal payback</t>
  </si>
  <si>
    <t>Estimated nominal payback year (from start of construction)</t>
  </si>
  <si>
    <t>Nominal payback within the operating life</t>
  </si>
  <si>
    <t>Estimated discounted payback year at WACC (from start of construction)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</si>
</sst>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164" fontId="2" fillId="0" borderId="0" xfId="0" applyNumberFormat="1" applyFont="1"/>
    <xf numFmtId="4" fontId="2" fillId="0" borderId="0" xfId="0" applyNumberFormat="1" applyFont="1"/>
    <xf numFmtId="10" fontId="2" fillId="0" borderId="0" xfId="0" applyNumberFormat="1" applyFon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165" fontId="2" fillId="0" borderId="0" xfId="0" applyNumberFormat="1" applyFont="1"/>
    <xf numFmtId="2" fontId="2" fillId="0" borderId="0" xfId="0" applyNumberFormat="1" applyFont="1"/>
    <xf numFmtId="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</a:rPr>
              <a:t>Annual cash flow before tax, park-only (THB bn, log scale)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Appraisal!$U$40</c:f>
              <c:strCache>
                <c:ptCount val="1"/>
                <c:pt idx="0">
                  <c:v>Capital outflow, absolute (THB bn)</c:v>
                </c:pt>
              </c:strCache>
            </c:strRef>
          </c:tx>
          <c:spPr>
            <a:solidFill>
              <a:srgbClr val="C0504D"/>
            </a:solidFill>
            <a:ln>
              <a:prstDash val="solid"/>
            </a:ln>
          </c:spPr>
          <c:invertIfNegative val="0"/>
          <c:dLbls>
            <c:dLbl>
              <c:idx val="0"/>
              <c:numFmt formatCode="\-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58-4402-AA0C-BC86BA6AC45A}"/>
                </c:ext>
              </c:extLst>
            </c:dLbl>
            <c:dLbl>
              <c:idx val="1"/>
              <c:numFmt formatCode="\-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58-4402-AA0C-BC86BA6AC4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Appraisal!$A$41:$A$63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cat>
          <c:val>
            <c:numRef>
              <c:f>Appraisal!$U$41:$U$63</c:f>
              <c:numCache>
                <c:formatCode>#,##0.00</c:formatCode>
                <c:ptCount val="23"/>
                <c:pt idx="0">
                  <c:v>100</c:v>
                </c:pt>
                <c:pt idx="1">
                  <c:v>100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8-4402-AA0C-BC86BA6AC45A}"/>
            </c:ext>
          </c:extLst>
        </c:ser>
        <c:ser>
          <c:idx val="1"/>
          <c:order val="1"/>
          <c:tx>
            <c:strRef>
              <c:f>Appraisal!$V$40</c:f>
              <c:strCache>
                <c:ptCount val="1"/>
                <c:pt idx="0">
                  <c:v>Operating cash flow (THB bn)</c:v>
                </c:pt>
              </c:strCache>
            </c:strRef>
          </c:tx>
          <c:spPr>
            <a:solidFill>
              <a:srgbClr val="1F3864"/>
            </a:solidFill>
          </c:spPr>
          <c:invertIfNegative val="0"/>
          <c:cat>
            <c:numRef>
              <c:f>Appraisal!$A$41:$A$63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cat>
          <c:val>
            <c:numRef>
              <c:f>Appraisal!$V$41:$V$63</c:f>
              <c:numCache>
                <c:formatCode>#,##0.00</c:formatCode>
                <c:ptCount val="23"/>
                <c:pt idx="0">
                  <c:v>#N/A</c:v>
                </c:pt>
                <c:pt idx="1">
                  <c:v>#N/A</c:v>
                </c:pt>
                <c:pt idx="2">
                  <c:v>5.3395922101449287</c:v>
                </c:pt>
                <c:pt idx="3">
                  <c:v>5.3395922101449287</c:v>
                </c:pt>
                <c:pt idx="4">
                  <c:v>5.3395922101449287</c:v>
                </c:pt>
                <c:pt idx="5">
                  <c:v>5.3395922101449287</c:v>
                </c:pt>
                <c:pt idx="6">
                  <c:v>5.3395922101449287</c:v>
                </c:pt>
                <c:pt idx="7">
                  <c:v>5.3395922101449287</c:v>
                </c:pt>
                <c:pt idx="8">
                  <c:v>5.3395922101449287</c:v>
                </c:pt>
                <c:pt idx="9">
                  <c:v>5.3395922101449287</c:v>
                </c:pt>
                <c:pt idx="10">
                  <c:v>5.3395922101449287</c:v>
                </c:pt>
                <c:pt idx="11">
                  <c:v>5.3395922101449287</c:v>
                </c:pt>
                <c:pt idx="12">
                  <c:v>5.3395922101449287</c:v>
                </c:pt>
                <c:pt idx="13">
                  <c:v>5.3395922101449287</c:v>
                </c:pt>
                <c:pt idx="14">
                  <c:v>5.3395922101449287</c:v>
                </c:pt>
                <c:pt idx="15">
                  <c:v>5.3395922101449287</c:v>
                </c:pt>
                <c:pt idx="16">
                  <c:v>5.3395922101449287</c:v>
                </c:pt>
                <c:pt idx="17">
                  <c:v>5.3395922101449287</c:v>
                </c:pt>
                <c:pt idx="18">
                  <c:v>5.3395922101449287</c:v>
                </c:pt>
                <c:pt idx="19">
                  <c:v>5.3395922101449287</c:v>
                </c:pt>
                <c:pt idx="20">
                  <c:v>5.3395922101449287</c:v>
                </c:pt>
                <c:pt idx="21">
                  <c:v>5.3395922101449287</c:v>
                </c:pt>
                <c:pt idx="2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4B6-B4FF-3F12DE384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  <c:max val="1000"/>
          <c:min val="1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THB bn (log scale)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"/>
        <c:crosses val="autoZero"/>
        <c:crossBetween val="between"/>
        <c:majorUnit val="10"/>
      </c:valAx>
    </c:plotArea>
    <c:legend>
      <c:legendPos val="b"/>
      <c:overlay val="0"/>
      <c:txPr>
        <a:bodyPr/>
        <a:lstStyle/>
        <a:p>
          <a:pPr>
            <a:defRPr>
              <a:latin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04040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</a:rPr>
              <a:t>Cumulative cash flow after tax, park-only (THB bn)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Appraisal!$S$40</c:f>
              <c:strCache>
                <c:ptCount val="1"/>
                <c:pt idx="0">
                  <c:v>Cumulative cash flow after tax</c:v>
                </c:pt>
              </c:strCache>
            </c:strRef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dLbls>
            <c:dLbl>
              <c:idx val="22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C7-402B-8DDA-45562A452D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Appraisal!$A$41:$A$63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cat>
          <c:val>
            <c:numRef>
              <c:f>Appraisal!$S$41:$S$63</c:f>
              <c:numCache>
                <c:formatCode>#,##0.00</c:formatCode>
                <c:ptCount val="23"/>
                <c:pt idx="0">
                  <c:v>-100</c:v>
                </c:pt>
                <c:pt idx="1">
                  <c:v>-200</c:v>
                </c:pt>
                <c:pt idx="2">
                  <c:v>-194.66040778985507</c:v>
                </c:pt>
                <c:pt idx="3">
                  <c:v>-189.32081557971014</c:v>
                </c:pt>
                <c:pt idx="4">
                  <c:v>-183.98122336956521</c:v>
                </c:pt>
                <c:pt idx="5">
                  <c:v>-178.64163115942029</c:v>
                </c:pt>
                <c:pt idx="6">
                  <c:v>-173.30203894927536</c:v>
                </c:pt>
                <c:pt idx="7">
                  <c:v>-167.96244673913043</c:v>
                </c:pt>
                <c:pt idx="8">
                  <c:v>-162.6228545289855</c:v>
                </c:pt>
                <c:pt idx="9">
                  <c:v>-157.28326231884057</c:v>
                </c:pt>
                <c:pt idx="10">
                  <c:v>-151.94367010869564</c:v>
                </c:pt>
                <c:pt idx="11">
                  <c:v>-146.60407789855071</c:v>
                </c:pt>
                <c:pt idx="12">
                  <c:v>-141.26448568840578</c:v>
                </c:pt>
                <c:pt idx="13">
                  <c:v>-135.92489347826086</c:v>
                </c:pt>
                <c:pt idx="14">
                  <c:v>-130.58530126811593</c:v>
                </c:pt>
                <c:pt idx="15">
                  <c:v>-125.245709057971</c:v>
                </c:pt>
                <c:pt idx="16">
                  <c:v>-119.90611684782607</c:v>
                </c:pt>
                <c:pt idx="17">
                  <c:v>-114.56652463768114</c:v>
                </c:pt>
                <c:pt idx="18">
                  <c:v>-109.22693242753621</c:v>
                </c:pt>
                <c:pt idx="19">
                  <c:v>-103.88734021739128</c:v>
                </c:pt>
                <c:pt idx="20">
                  <c:v>-98.547748007246355</c:v>
                </c:pt>
                <c:pt idx="21">
                  <c:v>-93.208155797101426</c:v>
                </c:pt>
                <c:pt idx="22">
                  <c:v>-93.208155797101426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C7-402B-8DDA-45562A452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"/>
          <c:min val="-22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THB bn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"/>
        <c:crosses val="autoZero"/>
        <c:crossBetween val="between"/>
        <c:majorUnit val="20"/>
      </c:valAx>
    </c:plotArea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04040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</a:rPr>
              <a:t>NPV before tax by sensitivity case (THB bn)</a:t>
            </a:r>
          </a:p>
        </c:rich>
      </c:tx>
      <c:layout>
        <c:manualLayout>
          <c:xMode val="edge"/>
          <c:yMode val="edge"/>
          <c:x val="0.33920117521367521"/>
          <c:y val="1.21212121212121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303899572649572"/>
          <c:y val="0.11515151515151516"/>
          <c:w val="0.74859626068376073"/>
          <c:h val="0.7636363636363636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Appraisal!$G$67</c:f>
              <c:strCache>
                <c:ptCount val="1"/>
                <c:pt idx="0">
                  <c:v>NPV before tax, park-only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0"/>
          <c:cat>
            <c:strRef>
              <c:f>Appraisal!$N$68:$N$94</c:f>
              <c:strCache>
                <c:ptCount val="27"/>
                <c:pt idx="0">
                  <c:v>Base</c:v>
                </c:pt>
                <c:pt idx="1">
                  <c:v>Construction cost +5%</c:v>
                </c:pt>
                <c:pt idx="2">
                  <c:v>Construction cost -5%</c:v>
                </c:pt>
                <c:pt idx="3">
                  <c:v>Construction cost +10%</c:v>
                </c:pt>
                <c:pt idx="4">
                  <c:v>Construction cost -10%</c:v>
                </c:pt>
                <c:pt idx="5">
                  <c:v>Construction cost +20%</c:v>
                </c:pt>
                <c:pt idx="6">
                  <c:v>Construction cost -20%</c:v>
                </c:pt>
                <c:pt idx="7">
                  <c:v>Operating cost +5%</c:v>
                </c:pt>
                <c:pt idx="8">
                  <c:v>Operating cost -5%</c:v>
                </c:pt>
                <c:pt idx="9">
                  <c:v>Operating cost +10%</c:v>
                </c:pt>
                <c:pt idx="10">
                  <c:v>Operating cost -10%</c:v>
                </c:pt>
                <c:pt idx="11">
                  <c:v>Operating cost +20%</c:v>
                </c:pt>
                <c:pt idx="12">
                  <c:v>Operating cost -20%</c:v>
                </c:pt>
                <c:pt idx="13">
                  <c:v>Revenue +5%</c:v>
                </c:pt>
                <c:pt idx="14">
                  <c:v>Revenue -5%</c:v>
                </c:pt>
                <c:pt idx="15">
                  <c:v>Revenue +10%</c:v>
                </c:pt>
                <c:pt idx="16">
                  <c:v>Revenue -10%</c:v>
                </c:pt>
                <c:pt idx="17">
                  <c:v>Revenue +20%</c:v>
                </c:pt>
                <c:pt idx="18">
                  <c:v>Revenue -20%</c:v>
                </c:pt>
                <c:pt idx="19">
                  <c:v>Cost +5%, revenue -5%</c:v>
                </c:pt>
                <c:pt idx="20">
                  <c:v>Cost -5%, revenue +5%</c:v>
                </c:pt>
                <c:pt idx="21">
                  <c:v>Cost +10%, revenue -10%</c:v>
                </c:pt>
                <c:pt idx="22">
                  <c:v>Cost -10%, revenue +10%</c:v>
                </c:pt>
                <c:pt idx="23">
                  <c:v>Cost +20%, revenue -20%</c:v>
                </c:pt>
                <c:pt idx="24">
                  <c:v>Cost -20%, revenue +20%</c:v>
                </c:pt>
                <c:pt idx="25">
                  <c:v>One-year opening delay</c:v>
                </c:pt>
                <c:pt idx="26">
                  <c:v>Replacement at HK depreciation share</c:v>
                </c:pt>
              </c:strCache>
            </c:strRef>
          </c:cat>
          <c:val>
            <c:numRef>
              <c:f>Appraisal!$G$68:$G$94</c:f>
              <c:numCache>
                <c:formatCode>#,##0.00</c:formatCode>
                <c:ptCount val="27"/>
                <c:pt idx="0">
                  <c:v>-144.05101535660108</c:v>
                </c:pt>
                <c:pt idx="1">
                  <c:v>-153.68064498623073</c:v>
                </c:pt>
                <c:pt idx="2">
                  <c:v>-134.42138572697144</c:v>
                </c:pt>
                <c:pt idx="3">
                  <c:v>-163.31027461586035</c:v>
                </c:pt>
                <c:pt idx="4">
                  <c:v>-124.79175609734182</c:v>
                </c:pt>
                <c:pt idx="5">
                  <c:v>-182.56953387511959</c:v>
                </c:pt>
                <c:pt idx="6">
                  <c:v>-105.53249683808258</c:v>
                </c:pt>
                <c:pt idx="7">
                  <c:v>-152.2327970400431</c:v>
                </c:pt>
                <c:pt idx="8">
                  <c:v>-135.86923367315907</c:v>
                </c:pt>
                <c:pt idx="9">
                  <c:v>-160.41457872348511</c:v>
                </c:pt>
                <c:pt idx="10">
                  <c:v>-127.68745198971706</c:v>
                </c:pt>
                <c:pt idx="11">
                  <c:v>-176.7781420903691</c:v>
                </c:pt>
                <c:pt idx="12">
                  <c:v>-111.32388862283307</c:v>
                </c:pt>
                <c:pt idx="13">
                  <c:v>-133.4421548113595</c:v>
                </c:pt>
                <c:pt idx="14">
                  <c:v>-154.65987590184267</c:v>
                </c:pt>
                <c:pt idx="15">
                  <c:v>-122.83329426611789</c:v>
                </c:pt>
                <c:pt idx="16">
                  <c:v>-165.26873644708425</c:v>
                </c:pt>
                <c:pt idx="17">
                  <c:v>-101.61557317563475</c:v>
                </c:pt>
                <c:pt idx="18">
                  <c:v>-186.48645753756739</c:v>
                </c:pt>
                <c:pt idx="19">
                  <c:v>-164.28950553147232</c:v>
                </c:pt>
                <c:pt idx="20">
                  <c:v>-123.81252518172984</c:v>
                </c:pt>
                <c:pt idx="21">
                  <c:v>-184.52799570634352</c:v>
                </c:pt>
                <c:pt idx="22">
                  <c:v>-103.57403500685862</c:v>
                </c:pt>
                <c:pt idx="23">
                  <c:v>-225.00497605608589</c:v>
                </c:pt>
                <c:pt idx="24">
                  <c:v>-63.097054657116246</c:v>
                </c:pt>
                <c:pt idx="25">
                  <c:v>-147.64668774445229</c:v>
                </c:pt>
                <c:pt idx="26">
                  <c:v>-287.85647706968189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0-4EC3-9D3B-48EE2665EE5A}"/>
            </c:ext>
          </c:extLst>
        </c:ser>
        <c:ser>
          <c:idx val="1"/>
          <c:order val="1"/>
          <c:tx>
            <c:strRef>
              <c:f>Appraisal!$H$67</c:f>
              <c:strCache>
                <c:ptCount val="1"/>
                <c:pt idx="0">
                  <c:v>NPV before tax, complex (reference)</c:v>
                </c:pt>
              </c:strCache>
            </c:strRef>
          </c:tx>
          <c:spPr>
            <a:solidFill>
              <a:srgbClr val="A6A6A6"/>
            </a:solidFill>
            <a:ln>
              <a:prstDash val="solid"/>
            </a:ln>
          </c:spPr>
          <c:invertIfNegative val="0"/>
          <c:cat>
            <c:strRef>
              <c:f>Appraisal!$N$68:$N$94</c:f>
              <c:strCache>
                <c:ptCount val="27"/>
                <c:pt idx="0">
                  <c:v>Base</c:v>
                </c:pt>
                <c:pt idx="1">
                  <c:v>Construction cost +5%</c:v>
                </c:pt>
                <c:pt idx="2">
                  <c:v>Construction cost -5%</c:v>
                </c:pt>
                <c:pt idx="3">
                  <c:v>Construction cost +10%</c:v>
                </c:pt>
                <c:pt idx="4">
                  <c:v>Construction cost -10%</c:v>
                </c:pt>
                <c:pt idx="5">
                  <c:v>Construction cost +20%</c:v>
                </c:pt>
                <c:pt idx="6">
                  <c:v>Construction cost -20%</c:v>
                </c:pt>
                <c:pt idx="7">
                  <c:v>Operating cost +5%</c:v>
                </c:pt>
                <c:pt idx="8">
                  <c:v>Operating cost -5%</c:v>
                </c:pt>
                <c:pt idx="9">
                  <c:v>Operating cost +10%</c:v>
                </c:pt>
                <c:pt idx="10">
                  <c:v>Operating cost -10%</c:v>
                </c:pt>
                <c:pt idx="11">
                  <c:v>Operating cost +20%</c:v>
                </c:pt>
                <c:pt idx="12">
                  <c:v>Operating cost -20%</c:v>
                </c:pt>
                <c:pt idx="13">
                  <c:v>Revenue +5%</c:v>
                </c:pt>
                <c:pt idx="14">
                  <c:v>Revenue -5%</c:v>
                </c:pt>
                <c:pt idx="15">
                  <c:v>Revenue +10%</c:v>
                </c:pt>
                <c:pt idx="16">
                  <c:v>Revenue -10%</c:v>
                </c:pt>
                <c:pt idx="17">
                  <c:v>Revenue +20%</c:v>
                </c:pt>
                <c:pt idx="18">
                  <c:v>Revenue -20%</c:v>
                </c:pt>
                <c:pt idx="19">
                  <c:v>Cost +5%, revenue -5%</c:v>
                </c:pt>
                <c:pt idx="20">
                  <c:v>Cost -5%, revenue +5%</c:v>
                </c:pt>
                <c:pt idx="21">
                  <c:v>Cost +10%, revenue -10%</c:v>
                </c:pt>
                <c:pt idx="22">
                  <c:v>Cost -10%, revenue +10%</c:v>
                </c:pt>
                <c:pt idx="23">
                  <c:v>Cost +20%, revenue -20%</c:v>
                </c:pt>
                <c:pt idx="24">
                  <c:v>Cost -20%, revenue +20%</c:v>
                </c:pt>
                <c:pt idx="25">
                  <c:v>One-year opening delay</c:v>
                </c:pt>
                <c:pt idx="26">
                  <c:v>Replacement at HK depreciation share</c:v>
                </c:pt>
              </c:strCache>
            </c:strRef>
          </c:cat>
          <c:val>
            <c:numRef>
              <c:f>Appraisal!$H$68:$H$94</c:f>
              <c:numCache>
                <c:formatCode>#,##0.00</c:formatCode>
                <c:ptCount val="27"/>
                <c:pt idx="0">
                  <c:v>-259.41977774562076</c:v>
                </c:pt>
                <c:pt idx="1">
                  <c:v>-273.86422219006528</c:v>
                </c:pt>
                <c:pt idx="2">
                  <c:v>-244.97533330117631</c:v>
                </c:pt>
                <c:pt idx="3">
                  <c:v>-288.30866663450968</c:v>
                </c:pt>
                <c:pt idx="4">
                  <c:v>-230.53088885673191</c:v>
                </c:pt>
                <c:pt idx="5">
                  <c:v>-317.19755552339853</c:v>
                </c:pt>
                <c:pt idx="6">
                  <c:v>-201.64199996784305</c:v>
                </c:pt>
                <c:pt idx="7">
                  <c:v>-264.38685643379603</c:v>
                </c:pt>
                <c:pt idx="8">
                  <c:v>-254.45269905744547</c:v>
                </c:pt>
                <c:pt idx="9">
                  <c:v>-269.35393512197129</c:v>
                </c:pt>
                <c:pt idx="10">
                  <c:v>-249.48562036927018</c:v>
                </c:pt>
                <c:pt idx="11">
                  <c:v>-279.28809249832187</c:v>
                </c:pt>
                <c:pt idx="12">
                  <c:v>-239.55146299291965</c:v>
                </c:pt>
                <c:pt idx="13">
                  <c:v>-252.97924350028205</c:v>
                </c:pt>
                <c:pt idx="14">
                  <c:v>-265.86031199095942</c:v>
                </c:pt>
                <c:pt idx="15">
                  <c:v>-246.53870925494337</c:v>
                </c:pt>
                <c:pt idx="16">
                  <c:v>-272.30084623629813</c:v>
                </c:pt>
                <c:pt idx="17">
                  <c:v>-233.65764076426601</c:v>
                </c:pt>
                <c:pt idx="18">
                  <c:v>-285.18191472697549</c:v>
                </c:pt>
                <c:pt idx="19">
                  <c:v>-280.30475643540393</c:v>
                </c:pt>
                <c:pt idx="20">
                  <c:v>-238.5347990558376</c:v>
                </c:pt>
                <c:pt idx="21">
                  <c:v>-301.18973512518704</c:v>
                </c:pt>
                <c:pt idx="22">
                  <c:v>-217.64982036605451</c:v>
                </c:pt>
                <c:pt idx="23">
                  <c:v>-342.95969250475326</c:v>
                </c:pt>
                <c:pt idx="24">
                  <c:v>-175.87986298648829</c:v>
                </c:pt>
                <c:pt idx="25">
                  <c:v>-261.60267486734432</c:v>
                </c:pt>
                <c:pt idx="26">
                  <c:v>-475.12797031524201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20-4EC3-9D3B-48EE2665E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Case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THB bn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"/>
        <c:crosses val="max"/>
        <c:crossBetween val="between"/>
        <c:majorUnit val="50"/>
      </c:valAx>
    </c:plotArea>
    <c:legend>
      <c:legendPos val="b"/>
      <c:layout>
        <c:manualLayout>
          <c:xMode val="edge"/>
          <c:yMode val="edge"/>
          <c:x val="0.27641452991452992"/>
          <c:y val="0.96957134335480799"/>
          <c:w val="0.44717083333333335"/>
          <c:h val="2.739835361488905E-2"/>
        </c:manualLayout>
      </c:layout>
      <c:overlay val="1"/>
      <c:txPr>
        <a:bodyPr/>
        <a:lstStyle/>
        <a:p>
          <a:pPr>
            <a:defRPr>
              <a:latin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04040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6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864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50</xdr:row>
      <xdr:rowOff>0</xdr:rowOff>
    </xdr:from>
    <xdr:ext cx="9360000" cy="838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58" style="2" customWidth="1"/>
    <col min="2" max="2" width="26" style="2" customWidth="1"/>
    <col min="3" max="5" width="16" style="2" customWidth="1"/>
    <col min="6" max="6" width="110" style="2" customWidth="1"/>
    <col min="7" max="16384" width="8.726562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300</v>
      </c>
      <c r="F2" s="2" t="s">
        <v>8</v>
      </c>
    </row>
    <row r="3" spans="1:6" x14ac:dyDescent="0.3">
      <c r="A3" s="2" t="s">
        <v>9</v>
      </c>
      <c r="B3" s="2" t="s">
        <v>7</v>
      </c>
      <c r="C3" s="2">
        <v>200</v>
      </c>
      <c r="F3" s="2" t="s">
        <v>10</v>
      </c>
    </row>
    <row r="4" spans="1:6" x14ac:dyDescent="0.3">
      <c r="A4" s="2" t="s">
        <v>11</v>
      </c>
      <c r="B4" s="2" t="s">
        <v>7</v>
      </c>
      <c r="C4" s="2">
        <v>100</v>
      </c>
      <c r="F4" s="2" t="s">
        <v>12</v>
      </c>
    </row>
    <row r="5" spans="1:6" x14ac:dyDescent="0.3">
      <c r="A5" s="2" t="s">
        <v>13</v>
      </c>
      <c r="B5" s="2" t="s">
        <v>14</v>
      </c>
      <c r="C5" s="2">
        <v>10</v>
      </c>
      <c r="F5" s="2" t="s">
        <v>15</v>
      </c>
    </row>
    <row r="6" spans="1:6" x14ac:dyDescent="0.3">
      <c r="A6" s="2" t="s">
        <v>16</v>
      </c>
      <c r="B6" s="2" t="s">
        <v>7</v>
      </c>
      <c r="C6" s="2">
        <v>150</v>
      </c>
      <c r="F6" s="2" t="s">
        <v>15</v>
      </c>
    </row>
    <row r="7" spans="1:6" x14ac:dyDescent="0.3">
      <c r="A7" s="2" t="s">
        <v>17</v>
      </c>
      <c r="B7" s="2" t="s">
        <v>18</v>
      </c>
      <c r="C7" s="2">
        <v>1</v>
      </c>
      <c r="F7" s="2" t="s">
        <v>15</v>
      </c>
    </row>
    <row r="8" spans="1:6" x14ac:dyDescent="0.3">
      <c r="A8" s="2" t="s">
        <v>19</v>
      </c>
      <c r="B8" s="2" t="s">
        <v>20</v>
      </c>
      <c r="C8" s="2">
        <v>0.09</v>
      </c>
      <c r="F8" s="2" t="s">
        <v>21</v>
      </c>
    </row>
    <row r="9" spans="1:6" x14ac:dyDescent="0.3">
      <c r="A9" s="2" t="s">
        <v>22</v>
      </c>
      <c r="B9" s="2" t="s">
        <v>20</v>
      </c>
      <c r="C9" s="2">
        <v>0.06</v>
      </c>
      <c r="F9" s="2" t="s">
        <v>21</v>
      </c>
    </row>
    <row r="10" spans="1:6" x14ac:dyDescent="0.3">
      <c r="A10" s="2" t="s">
        <v>23</v>
      </c>
      <c r="B10" s="2" t="s">
        <v>20</v>
      </c>
      <c r="C10" s="2">
        <v>7.0000000000000007E-2</v>
      </c>
      <c r="F10" s="2" t="s">
        <v>24</v>
      </c>
    </row>
    <row r="11" spans="1:6" x14ac:dyDescent="0.3">
      <c r="A11" s="2" t="s">
        <v>25</v>
      </c>
      <c r="B11" s="2" t="s">
        <v>20</v>
      </c>
      <c r="C11" s="2">
        <v>0.12</v>
      </c>
      <c r="F11" s="2" t="s">
        <v>26</v>
      </c>
    </row>
    <row r="12" spans="1:6" x14ac:dyDescent="0.3">
      <c r="A12" s="2" t="s">
        <v>27</v>
      </c>
      <c r="B12" s="2" t="s">
        <v>28</v>
      </c>
      <c r="C12" s="2">
        <v>0.7</v>
      </c>
      <c r="F12" s="2" t="s">
        <v>29</v>
      </c>
    </row>
    <row r="13" spans="1:6" x14ac:dyDescent="0.3">
      <c r="A13" s="2" t="s">
        <v>30</v>
      </c>
      <c r="B13" s="2" t="s">
        <v>31</v>
      </c>
      <c r="C13" s="2">
        <v>20</v>
      </c>
      <c r="F13" s="2" t="s">
        <v>32</v>
      </c>
    </row>
    <row r="14" spans="1:6" x14ac:dyDescent="0.3">
      <c r="A14" s="2" t="s">
        <v>33</v>
      </c>
      <c r="B14" s="2" t="s">
        <v>20</v>
      </c>
      <c r="C14" s="2">
        <v>0.08</v>
      </c>
      <c r="F14" s="2" t="s">
        <v>32</v>
      </c>
    </row>
    <row r="15" spans="1:6" x14ac:dyDescent="0.3">
      <c r="A15" s="2" t="s">
        <v>34</v>
      </c>
      <c r="B15" s="2" t="s">
        <v>14</v>
      </c>
      <c r="C15" s="2">
        <v>7.5</v>
      </c>
      <c r="F15" s="2" t="s">
        <v>35</v>
      </c>
    </row>
    <row r="16" spans="1:6" x14ac:dyDescent="0.3">
      <c r="A16" s="2" t="s">
        <v>36</v>
      </c>
      <c r="B16" s="2" t="s">
        <v>37</v>
      </c>
      <c r="C16" s="2">
        <v>0.3</v>
      </c>
      <c r="F16" s="2" t="s">
        <v>35</v>
      </c>
    </row>
    <row r="17" spans="1:6" x14ac:dyDescent="0.3">
      <c r="A17" s="2" t="s">
        <v>38</v>
      </c>
      <c r="B17" s="2" t="s">
        <v>37</v>
      </c>
      <c r="C17" s="2">
        <v>0.3</v>
      </c>
      <c r="F17" s="2" t="s">
        <v>35</v>
      </c>
    </row>
    <row r="18" spans="1:6" x14ac:dyDescent="0.3">
      <c r="A18" s="2" t="s">
        <v>39</v>
      </c>
      <c r="B18" s="2" t="s">
        <v>40</v>
      </c>
      <c r="C18" s="3">
        <v>10000</v>
      </c>
      <c r="F18" s="2" t="s">
        <v>41</v>
      </c>
    </row>
    <row r="19" spans="1:6" x14ac:dyDescent="0.3">
      <c r="A19" s="2" t="s">
        <v>42</v>
      </c>
      <c r="B19" s="2" t="s">
        <v>37</v>
      </c>
      <c r="C19" s="2">
        <v>0.5</v>
      </c>
      <c r="F19" s="2" t="s">
        <v>35</v>
      </c>
    </row>
    <row r="20" spans="1:6" x14ac:dyDescent="0.3">
      <c r="A20" s="2" t="s">
        <v>43</v>
      </c>
      <c r="B20" s="2" t="s">
        <v>44</v>
      </c>
      <c r="C20" s="2">
        <v>6.5421000000000007E-2</v>
      </c>
      <c r="F20" s="2" t="s">
        <v>45</v>
      </c>
    </row>
    <row r="21" spans="1:6" x14ac:dyDescent="0.3">
      <c r="A21" s="2" t="s">
        <v>46</v>
      </c>
      <c r="B21" s="2" t="s">
        <v>47</v>
      </c>
      <c r="C21" s="2">
        <v>13.3</v>
      </c>
      <c r="F21" s="2" t="s">
        <v>35</v>
      </c>
    </row>
    <row r="22" spans="1:6" x14ac:dyDescent="0.3">
      <c r="A22" s="2" t="s">
        <v>48</v>
      </c>
      <c r="B22" s="2" t="s">
        <v>49</v>
      </c>
      <c r="C22" s="2">
        <v>33.521000000000001</v>
      </c>
      <c r="F22" s="2" t="s">
        <v>50</v>
      </c>
    </row>
    <row r="23" spans="1:6" x14ac:dyDescent="0.3">
      <c r="A23" s="2" t="s">
        <v>51</v>
      </c>
      <c r="B23" s="2" t="s">
        <v>52</v>
      </c>
      <c r="C23" s="3">
        <v>384881</v>
      </c>
      <c r="F23" s="2" t="s">
        <v>53</v>
      </c>
    </row>
    <row r="24" spans="1:6" x14ac:dyDescent="0.3">
      <c r="A24" s="2" t="s">
        <v>54</v>
      </c>
      <c r="B24" s="2" t="s">
        <v>52</v>
      </c>
      <c r="C24" s="3">
        <v>370210</v>
      </c>
      <c r="F24" s="2" t="s">
        <v>55</v>
      </c>
    </row>
    <row r="25" spans="1:6" x14ac:dyDescent="0.3">
      <c r="A25" s="2" t="s">
        <v>56</v>
      </c>
      <c r="B25" s="2" t="s">
        <v>52</v>
      </c>
      <c r="C25" s="3">
        <v>1665004</v>
      </c>
      <c r="F25" s="2" t="s">
        <v>55</v>
      </c>
    </row>
    <row r="26" spans="1:6" x14ac:dyDescent="0.3">
      <c r="A26" s="2" t="s">
        <v>57</v>
      </c>
      <c r="B26" s="2" t="s">
        <v>58</v>
      </c>
      <c r="C26" s="3">
        <v>3700000</v>
      </c>
      <c r="F26" s="2" t="s">
        <v>59</v>
      </c>
    </row>
    <row r="27" spans="1:6" x14ac:dyDescent="0.3">
      <c r="A27" s="2" t="s">
        <v>60</v>
      </c>
      <c r="B27" s="2" t="s">
        <v>58</v>
      </c>
      <c r="C27" s="3">
        <v>60000000</v>
      </c>
      <c r="F27" s="2" t="s">
        <v>59</v>
      </c>
    </row>
    <row r="28" spans="1:6" x14ac:dyDescent="0.3">
      <c r="A28" s="2" t="s">
        <v>61</v>
      </c>
      <c r="B28" s="2" t="s">
        <v>52</v>
      </c>
      <c r="C28" s="3">
        <v>65425879</v>
      </c>
      <c r="F28" s="2" t="s">
        <v>62</v>
      </c>
    </row>
    <row r="29" spans="1:6" x14ac:dyDescent="0.3">
      <c r="A29" s="2" t="s">
        <v>63</v>
      </c>
      <c r="B29" s="2" t="s">
        <v>52</v>
      </c>
      <c r="C29" s="3">
        <v>62234693</v>
      </c>
      <c r="F29" s="2" t="s">
        <v>64</v>
      </c>
    </row>
    <row r="30" spans="1:6" x14ac:dyDescent="0.3">
      <c r="A30" s="2" t="s">
        <v>65</v>
      </c>
      <c r="B30" s="2" t="s">
        <v>52</v>
      </c>
      <c r="C30" s="3">
        <v>30490635</v>
      </c>
      <c r="F30" s="2" t="s">
        <v>64</v>
      </c>
    </row>
    <row r="31" spans="1:6" x14ac:dyDescent="0.3">
      <c r="A31" s="2" t="s">
        <v>66</v>
      </c>
      <c r="B31" s="2" t="s">
        <v>52</v>
      </c>
      <c r="C31" s="3">
        <v>41313439</v>
      </c>
      <c r="F31" s="2" t="s">
        <v>62</v>
      </c>
    </row>
    <row r="32" spans="1:6" x14ac:dyDescent="0.3">
      <c r="A32" s="2" t="s">
        <v>67</v>
      </c>
      <c r="B32" s="2" t="s">
        <v>58</v>
      </c>
      <c r="C32" s="3">
        <v>30000000</v>
      </c>
      <c r="F32" s="2" t="s">
        <v>68</v>
      </c>
    </row>
    <row r="33" spans="1:6" x14ac:dyDescent="0.3">
      <c r="A33" s="2" t="s">
        <v>69</v>
      </c>
      <c r="B33" s="2" t="s">
        <v>52</v>
      </c>
      <c r="C33" s="3">
        <v>100058695</v>
      </c>
      <c r="F33" s="2" t="s">
        <v>70</v>
      </c>
    </row>
    <row r="34" spans="1:6" x14ac:dyDescent="0.3">
      <c r="A34" s="2" t="s">
        <v>71</v>
      </c>
      <c r="B34" s="2" t="s">
        <v>52</v>
      </c>
      <c r="C34" s="3">
        <v>124033786</v>
      </c>
      <c r="F34" s="2" t="s">
        <v>64</v>
      </c>
    </row>
    <row r="35" spans="1:6" x14ac:dyDescent="0.3">
      <c r="A35" s="2" t="s">
        <v>72</v>
      </c>
      <c r="B35" s="2" t="s">
        <v>73</v>
      </c>
      <c r="C35" s="3">
        <v>956372</v>
      </c>
      <c r="F35" s="2" t="s">
        <v>74</v>
      </c>
    </row>
    <row r="36" spans="1:6" x14ac:dyDescent="0.3">
      <c r="A36" s="2" t="s">
        <v>75</v>
      </c>
      <c r="B36" s="2" t="s">
        <v>76</v>
      </c>
      <c r="C36" s="3">
        <v>30786</v>
      </c>
      <c r="F36" s="2" t="s">
        <v>77</v>
      </c>
    </row>
    <row r="37" spans="1:6" x14ac:dyDescent="0.3">
      <c r="A37" s="2" t="s">
        <v>78</v>
      </c>
      <c r="B37" s="2" t="s">
        <v>73</v>
      </c>
      <c r="C37" s="3">
        <v>719300</v>
      </c>
      <c r="F37" s="2" t="s">
        <v>79</v>
      </c>
    </row>
    <row r="38" spans="1:6" x14ac:dyDescent="0.3">
      <c r="A38" s="2" t="s">
        <v>80</v>
      </c>
      <c r="B38" s="2" t="s">
        <v>73</v>
      </c>
      <c r="C38" s="3">
        <v>31581</v>
      </c>
      <c r="F38" s="2" t="s">
        <v>81</v>
      </c>
    </row>
    <row r="39" spans="1:6" x14ac:dyDescent="0.3">
      <c r="A39" s="2" t="s">
        <v>82</v>
      </c>
      <c r="B39" s="2" t="s">
        <v>83</v>
      </c>
      <c r="C39" s="3">
        <v>31581</v>
      </c>
      <c r="F39" s="2" t="s">
        <v>84</v>
      </c>
    </row>
    <row r="40" spans="1:6" x14ac:dyDescent="0.3">
      <c r="A40" s="2" t="s">
        <v>85</v>
      </c>
      <c r="B40" s="2" t="s">
        <v>83</v>
      </c>
      <c r="C40" s="3">
        <v>34743</v>
      </c>
      <c r="F40" s="2" t="s">
        <v>86</v>
      </c>
    </row>
    <row r="41" spans="1:6" x14ac:dyDescent="0.3">
      <c r="A41" s="2" t="s">
        <v>87</v>
      </c>
      <c r="B41" s="2" t="s">
        <v>88</v>
      </c>
      <c r="C41" s="2">
        <v>71</v>
      </c>
      <c r="F41" s="2" t="s">
        <v>84</v>
      </c>
    </row>
    <row r="42" spans="1:6" x14ac:dyDescent="0.3">
      <c r="A42" s="2" t="s">
        <v>89</v>
      </c>
      <c r="B42" s="2" t="s">
        <v>88</v>
      </c>
      <c r="C42" s="2">
        <v>80.42</v>
      </c>
      <c r="F42" s="2" t="s">
        <v>90</v>
      </c>
    </row>
    <row r="43" spans="1:6" x14ac:dyDescent="0.3">
      <c r="A43" s="2" t="s">
        <v>91</v>
      </c>
      <c r="B43" s="2" t="s">
        <v>92</v>
      </c>
      <c r="C43" s="2">
        <v>65.5</v>
      </c>
      <c r="F43" s="2" t="s">
        <v>93</v>
      </c>
    </row>
    <row r="44" spans="1:6" x14ac:dyDescent="0.3">
      <c r="A44" s="2" t="s">
        <v>94</v>
      </c>
      <c r="B44" s="2" t="s">
        <v>88</v>
      </c>
      <c r="C44" s="2">
        <v>80.400000000000006</v>
      </c>
      <c r="F44" s="2" t="s">
        <v>95</v>
      </c>
    </row>
    <row r="45" spans="1:6" x14ac:dyDescent="0.3">
      <c r="A45" s="2" t="s">
        <v>96</v>
      </c>
      <c r="B45" s="2" t="s">
        <v>97</v>
      </c>
      <c r="C45" s="3">
        <v>24780000</v>
      </c>
      <c r="F45" s="2" t="s">
        <v>95</v>
      </c>
    </row>
    <row r="46" spans="1:6" x14ac:dyDescent="0.3">
      <c r="A46" s="2" t="s">
        <v>98</v>
      </c>
      <c r="B46" s="2" t="s">
        <v>97</v>
      </c>
      <c r="C46" s="3">
        <v>10450000</v>
      </c>
      <c r="F46" s="2" t="s">
        <v>95</v>
      </c>
    </row>
    <row r="47" spans="1:6" x14ac:dyDescent="0.3">
      <c r="A47" s="2" t="s">
        <v>99</v>
      </c>
      <c r="B47" s="2" t="s">
        <v>97</v>
      </c>
      <c r="C47" s="3">
        <v>11689827</v>
      </c>
      <c r="F47" s="2" t="s">
        <v>100</v>
      </c>
    </row>
    <row r="48" spans="1:6" x14ac:dyDescent="0.3">
      <c r="A48" s="2" t="s">
        <v>101</v>
      </c>
      <c r="B48" s="2" t="s">
        <v>97</v>
      </c>
      <c r="C48" s="3">
        <v>9966574</v>
      </c>
      <c r="F48" s="2" t="s">
        <v>100</v>
      </c>
    </row>
    <row r="49" spans="1:6" x14ac:dyDescent="0.3">
      <c r="A49" s="2" t="s">
        <v>102</v>
      </c>
      <c r="B49" s="2" t="s">
        <v>103</v>
      </c>
      <c r="F49" s="2" t="s">
        <v>104</v>
      </c>
    </row>
    <row r="50" spans="1:6" x14ac:dyDescent="0.3">
      <c r="A50" s="2" t="s">
        <v>105</v>
      </c>
      <c r="B50" s="2" t="s">
        <v>106</v>
      </c>
      <c r="C50" s="3">
        <v>2031</v>
      </c>
      <c r="F50" s="2" t="s">
        <v>107</v>
      </c>
    </row>
    <row r="51" spans="1:6" x14ac:dyDescent="0.3">
      <c r="A51" s="2" t="s">
        <v>108</v>
      </c>
      <c r="B51" s="2" t="s">
        <v>106</v>
      </c>
      <c r="C51" s="3">
        <v>2031</v>
      </c>
      <c r="F51" s="2" t="s">
        <v>109</v>
      </c>
    </row>
    <row r="52" spans="1:6" x14ac:dyDescent="0.3">
      <c r="A52" s="2" t="s">
        <v>110</v>
      </c>
      <c r="B52" s="2" t="s">
        <v>106</v>
      </c>
      <c r="C52" s="3">
        <v>2029</v>
      </c>
      <c r="F52" s="2" t="s">
        <v>111</v>
      </c>
    </row>
    <row r="53" spans="1:6" x14ac:dyDescent="0.3">
      <c r="A53" s="2" t="s">
        <v>112</v>
      </c>
      <c r="B53" s="2" t="s">
        <v>113</v>
      </c>
      <c r="F53" s="2" t="s">
        <v>114</v>
      </c>
    </row>
    <row r="54" spans="1:6" x14ac:dyDescent="0.3">
      <c r="A54" s="2" t="s">
        <v>115</v>
      </c>
      <c r="B54" s="2" t="s">
        <v>116</v>
      </c>
      <c r="C54" s="2">
        <v>1.92</v>
      </c>
      <c r="F54" s="2" t="s">
        <v>117</v>
      </c>
    </row>
    <row r="55" spans="1:6" x14ac:dyDescent="0.3">
      <c r="A55" s="2" t="s">
        <v>118</v>
      </c>
      <c r="B55" s="2" t="s">
        <v>106</v>
      </c>
      <c r="C55" s="3">
        <v>2028</v>
      </c>
      <c r="F55" s="2" t="s">
        <v>119</v>
      </c>
    </row>
    <row r="56" spans="1:6" x14ac:dyDescent="0.3">
      <c r="A56" s="2" t="s">
        <v>120</v>
      </c>
      <c r="B56" s="2" t="s">
        <v>121</v>
      </c>
      <c r="C56" s="3">
        <v>2020</v>
      </c>
      <c r="F56" s="2" t="s">
        <v>122</v>
      </c>
    </row>
    <row r="57" spans="1:6" x14ac:dyDescent="0.3">
      <c r="A57" s="2" t="s">
        <v>123</v>
      </c>
      <c r="B57" s="2" t="s">
        <v>124</v>
      </c>
      <c r="C57" s="3">
        <v>50900</v>
      </c>
      <c r="F57" s="2" t="s">
        <v>95</v>
      </c>
    </row>
    <row r="58" spans="1:6" x14ac:dyDescent="0.3">
      <c r="A58" s="2" t="s">
        <v>125</v>
      </c>
      <c r="B58" s="2" t="s">
        <v>126</v>
      </c>
      <c r="C58" s="3">
        <v>88512</v>
      </c>
      <c r="F58" s="2" t="s">
        <v>95</v>
      </c>
    </row>
    <row r="59" spans="1:6" x14ac:dyDescent="0.3">
      <c r="A59" s="2" t="s">
        <v>127</v>
      </c>
      <c r="B59" s="2" t="s">
        <v>128</v>
      </c>
      <c r="C59" s="3">
        <v>8834</v>
      </c>
      <c r="F59" s="2" t="s">
        <v>95</v>
      </c>
    </row>
    <row r="60" spans="1:6" x14ac:dyDescent="0.3">
      <c r="A60" s="2" t="s">
        <v>129</v>
      </c>
      <c r="B60" s="2" t="s">
        <v>130</v>
      </c>
      <c r="F60" s="2" t="s">
        <v>95</v>
      </c>
    </row>
    <row r="61" spans="1:6" x14ac:dyDescent="0.3">
      <c r="A61" s="2" t="s">
        <v>131</v>
      </c>
      <c r="B61" s="2" t="s">
        <v>126</v>
      </c>
      <c r="F61" s="2" t="s">
        <v>132</v>
      </c>
    </row>
    <row r="62" spans="1:6" x14ac:dyDescent="0.3">
      <c r="A62" s="2" t="s">
        <v>133</v>
      </c>
      <c r="B62" s="2" t="s">
        <v>134</v>
      </c>
      <c r="C62" s="3">
        <v>48580</v>
      </c>
      <c r="F62" s="2" t="s">
        <v>135</v>
      </c>
    </row>
    <row r="63" spans="1:6" x14ac:dyDescent="0.3">
      <c r="A63" s="2" t="s">
        <v>136</v>
      </c>
      <c r="B63" s="2" t="s">
        <v>137</v>
      </c>
      <c r="C63" s="3">
        <v>5172.29</v>
      </c>
      <c r="F63" s="2" t="s">
        <v>138</v>
      </c>
    </row>
    <row r="64" spans="1:6" x14ac:dyDescent="0.3">
      <c r="A64" s="2" t="s">
        <v>139</v>
      </c>
      <c r="B64" s="2" t="s">
        <v>140</v>
      </c>
      <c r="C64" s="2">
        <v>9.6</v>
      </c>
      <c r="F64" s="2" t="s">
        <v>141</v>
      </c>
    </row>
    <row r="65" spans="1:6" x14ac:dyDescent="0.3">
      <c r="A65" s="2" t="s">
        <v>142</v>
      </c>
      <c r="B65" s="2" t="s">
        <v>140</v>
      </c>
      <c r="C65" s="2">
        <v>9.4</v>
      </c>
      <c r="F65" s="2" t="s">
        <v>143</v>
      </c>
    </row>
    <row r="66" spans="1:6" x14ac:dyDescent="0.3">
      <c r="A66" s="2" t="s">
        <v>144</v>
      </c>
      <c r="B66" s="2" t="s">
        <v>145</v>
      </c>
      <c r="F66" s="2" t="s">
        <v>95</v>
      </c>
    </row>
    <row r="67" spans="1:6" x14ac:dyDescent="0.3">
      <c r="A67" s="2" t="s">
        <v>146</v>
      </c>
      <c r="B67" s="2" t="s">
        <v>147</v>
      </c>
      <c r="C67" s="3">
        <v>4000</v>
      </c>
      <c r="F67" s="2" t="s">
        <v>95</v>
      </c>
    </row>
    <row r="68" spans="1:6" x14ac:dyDescent="0.3">
      <c r="A68" s="2" t="s">
        <v>148</v>
      </c>
      <c r="B68" s="2" t="s">
        <v>149</v>
      </c>
      <c r="F68" s="2" t="s">
        <v>95</v>
      </c>
    </row>
    <row r="69" spans="1:6" x14ac:dyDescent="0.3">
      <c r="A69" s="2" t="s">
        <v>150</v>
      </c>
      <c r="B69" s="2" t="s">
        <v>97</v>
      </c>
      <c r="C69" s="3">
        <v>32974321</v>
      </c>
      <c r="F69" s="2" t="s">
        <v>151</v>
      </c>
    </row>
    <row r="70" spans="1:6" x14ac:dyDescent="0.3">
      <c r="A70" s="2" t="s">
        <v>152</v>
      </c>
      <c r="B70" s="2" t="s">
        <v>97</v>
      </c>
      <c r="C70" s="3">
        <v>35545714</v>
      </c>
      <c r="F70" s="2" t="s">
        <v>153</v>
      </c>
    </row>
    <row r="71" spans="1:6" x14ac:dyDescent="0.3">
      <c r="A71" s="2" t="s">
        <v>154</v>
      </c>
      <c r="B71" s="2" t="s">
        <v>97</v>
      </c>
      <c r="C71" s="3">
        <v>39916251</v>
      </c>
      <c r="F71" s="2" t="s">
        <v>155</v>
      </c>
    </row>
    <row r="72" spans="1:6" x14ac:dyDescent="0.3">
      <c r="A72" s="2" t="s">
        <v>156</v>
      </c>
      <c r="B72" s="2" t="s">
        <v>97</v>
      </c>
      <c r="C72" s="3">
        <v>6725000</v>
      </c>
      <c r="F72" s="2" t="s">
        <v>157</v>
      </c>
    </row>
    <row r="73" spans="1:6" x14ac:dyDescent="0.3">
      <c r="A73" s="2" t="s">
        <v>158</v>
      </c>
      <c r="B73" s="2" t="s">
        <v>7</v>
      </c>
      <c r="C73" s="3">
        <v>1587.2080000000001</v>
      </c>
      <c r="F73" s="2" t="s">
        <v>151</v>
      </c>
    </row>
    <row r="74" spans="1:6" x14ac:dyDescent="0.3">
      <c r="A74" s="2" t="s">
        <v>159</v>
      </c>
      <c r="B74" s="2" t="s">
        <v>7</v>
      </c>
      <c r="C74" s="3">
        <v>1612.6030000000001</v>
      </c>
      <c r="F74" s="2" t="s">
        <v>143</v>
      </c>
    </row>
    <row r="75" spans="1:6" x14ac:dyDescent="0.3">
      <c r="A75" s="2" t="s">
        <v>160</v>
      </c>
      <c r="B75" s="2" t="s">
        <v>161</v>
      </c>
      <c r="C75" s="2">
        <v>59.81</v>
      </c>
      <c r="F75" s="2" t="s">
        <v>162</v>
      </c>
    </row>
    <row r="76" spans="1:6" x14ac:dyDescent="0.3">
      <c r="A76" s="2" t="s">
        <v>163</v>
      </c>
      <c r="B76" s="2" t="s">
        <v>161</v>
      </c>
      <c r="C76" s="2">
        <v>14.198</v>
      </c>
      <c r="F76" s="2" t="s">
        <v>162</v>
      </c>
    </row>
    <row r="77" spans="1:6" x14ac:dyDescent="0.3">
      <c r="A77" s="2" t="s">
        <v>164</v>
      </c>
      <c r="B77" s="2" t="s">
        <v>7</v>
      </c>
      <c r="C77" s="3">
        <v>1400</v>
      </c>
      <c r="F77" s="2" t="s">
        <v>95</v>
      </c>
    </row>
    <row r="78" spans="1:6" x14ac:dyDescent="0.3">
      <c r="A78" s="2" t="s">
        <v>165</v>
      </c>
      <c r="B78" s="2" t="s">
        <v>166</v>
      </c>
      <c r="C78" s="2">
        <v>498</v>
      </c>
      <c r="F78" s="2" t="s">
        <v>167</v>
      </c>
    </row>
    <row r="79" spans="1:6" x14ac:dyDescent="0.3">
      <c r="A79" s="2" t="s">
        <v>168</v>
      </c>
      <c r="B79" s="2" t="s">
        <v>169</v>
      </c>
      <c r="C79" s="2">
        <v>76</v>
      </c>
      <c r="F79" s="2" t="s">
        <v>170</v>
      </c>
    </row>
    <row r="80" spans="1:6" x14ac:dyDescent="0.3">
      <c r="A80" s="2" t="s">
        <v>171</v>
      </c>
      <c r="B80" s="2" t="s">
        <v>172</v>
      </c>
      <c r="F80" s="2" t="s">
        <v>95</v>
      </c>
    </row>
    <row r="81" spans="1:6" x14ac:dyDescent="0.3">
      <c r="A81" s="2" t="s">
        <v>173</v>
      </c>
      <c r="B81" s="2" t="s">
        <v>174</v>
      </c>
      <c r="C81" s="2">
        <v>6.5</v>
      </c>
      <c r="F81" s="2" t="s">
        <v>175</v>
      </c>
    </row>
    <row r="82" spans="1:6" x14ac:dyDescent="0.3">
      <c r="A82" s="2" t="s">
        <v>176</v>
      </c>
      <c r="B82" s="2" t="s">
        <v>174</v>
      </c>
      <c r="C82" s="2">
        <v>7.7</v>
      </c>
      <c r="F82" s="2" t="s">
        <v>177</v>
      </c>
    </row>
    <row r="83" spans="1:6" x14ac:dyDescent="0.3">
      <c r="A83" s="2" t="s">
        <v>178</v>
      </c>
      <c r="B83" s="2" t="s">
        <v>174</v>
      </c>
      <c r="C83" s="2">
        <v>7.5</v>
      </c>
      <c r="F83" s="2" t="s">
        <v>179</v>
      </c>
    </row>
    <row r="84" spans="1:6" x14ac:dyDescent="0.3">
      <c r="A84" s="2" t="s">
        <v>180</v>
      </c>
      <c r="B84" s="2" t="s">
        <v>181</v>
      </c>
      <c r="C84" s="3">
        <v>8694</v>
      </c>
      <c r="F84" s="2" t="s">
        <v>182</v>
      </c>
    </row>
    <row r="85" spans="1:6" x14ac:dyDescent="0.3">
      <c r="A85" s="2" t="s">
        <v>183</v>
      </c>
      <c r="B85" s="2" t="s">
        <v>181</v>
      </c>
      <c r="C85" s="2">
        <v>536</v>
      </c>
      <c r="F85" s="2" t="s">
        <v>182</v>
      </c>
    </row>
    <row r="86" spans="1:6" x14ac:dyDescent="0.3">
      <c r="A86" s="2" t="s">
        <v>184</v>
      </c>
      <c r="B86" s="2" t="s">
        <v>185</v>
      </c>
      <c r="C86" s="2">
        <v>669</v>
      </c>
      <c r="F86" s="2" t="s">
        <v>186</v>
      </c>
    </row>
    <row r="87" spans="1:6" x14ac:dyDescent="0.3">
      <c r="A87" s="2" t="s">
        <v>187</v>
      </c>
      <c r="B87" s="2" t="s">
        <v>185</v>
      </c>
      <c r="C87" s="2">
        <v>939</v>
      </c>
      <c r="F87" s="2" t="s">
        <v>186</v>
      </c>
    </row>
    <row r="88" spans="1:6" x14ac:dyDescent="0.3">
      <c r="A88" s="2" t="s">
        <v>188</v>
      </c>
      <c r="B88" s="2" t="s">
        <v>189</v>
      </c>
      <c r="C88" s="2">
        <v>41</v>
      </c>
      <c r="F88" s="2" t="s">
        <v>175</v>
      </c>
    </row>
    <row r="89" spans="1:6" x14ac:dyDescent="0.3">
      <c r="A89" s="2" t="s">
        <v>190</v>
      </c>
      <c r="B89" s="2" t="s">
        <v>189</v>
      </c>
      <c r="C89" s="2">
        <v>33</v>
      </c>
      <c r="F89" s="2" t="s">
        <v>175</v>
      </c>
    </row>
    <row r="90" spans="1:6" x14ac:dyDescent="0.3">
      <c r="A90" s="2" t="s">
        <v>191</v>
      </c>
      <c r="B90" s="2" t="s">
        <v>189</v>
      </c>
      <c r="C90" s="2">
        <v>26</v>
      </c>
      <c r="F90" s="2" t="s">
        <v>175</v>
      </c>
    </row>
    <row r="91" spans="1:6" x14ac:dyDescent="0.3">
      <c r="A91" s="2" t="s">
        <v>192</v>
      </c>
      <c r="B91" s="2" t="s">
        <v>174</v>
      </c>
      <c r="C91" s="2">
        <v>3.46</v>
      </c>
      <c r="F91" s="2" t="s">
        <v>193</v>
      </c>
    </row>
    <row r="92" spans="1:6" x14ac:dyDescent="0.3">
      <c r="A92" s="2" t="s">
        <v>194</v>
      </c>
      <c r="B92" s="2" t="s">
        <v>174</v>
      </c>
      <c r="C92" s="2">
        <v>1.25</v>
      </c>
      <c r="F92" s="2" t="s">
        <v>193</v>
      </c>
    </row>
    <row r="93" spans="1:6" x14ac:dyDescent="0.3">
      <c r="A93" s="2" t="s">
        <v>195</v>
      </c>
      <c r="B93" s="2" t="s">
        <v>174</v>
      </c>
      <c r="C93" s="2">
        <v>5.7</v>
      </c>
      <c r="F93" s="2" t="s">
        <v>196</v>
      </c>
    </row>
    <row r="94" spans="1:6" x14ac:dyDescent="0.3">
      <c r="A94" s="2" t="s">
        <v>197</v>
      </c>
      <c r="B94" s="2" t="s">
        <v>181</v>
      </c>
      <c r="C94" s="3">
        <v>1280</v>
      </c>
      <c r="F94" s="2" t="s">
        <v>198</v>
      </c>
    </row>
    <row r="95" spans="1:6" x14ac:dyDescent="0.3">
      <c r="A95" s="2" t="s">
        <v>199</v>
      </c>
      <c r="B95" s="2" t="s">
        <v>181</v>
      </c>
      <c r="C95" s="2">
        <v>274.7</v>
      </c>
      <c r="F95" s="2" t="s">
        <v>193</v>
      </c>
    </row>
    <row r="96" spans="1:6" x14ac:dyDescent="0.3">
      <c r="A96" s="2" t="s">
        <v>200</v>
      </c>
      <c r="B96" s="2" t="s">
        <v>181</v>
      </c>
      <c r="C96" s="3">
        <v>1734.9</v>
      </c>
      <c r="F96" s="2" t="s">
        <v>201</v>
      </c>
    </row>
    <row r="97" spans="1:6" x14ac:dyDescent="0.3">
      <c r="A97" s="2" t="s">
        <v>202</v>
      </c>
      <c r="B97" s="2" t="s">
        <v>181</v>
      </c>
      <c r="C97" s="3">
        <v>1554.7</v>
      </c>
      <c r="F97" s="2" t="s">
        <v>203</v>
      </c>
    </row>
    <row r="98" spans="1:6" x14ac:dyDescent="0.3">
      <c r="A98" s="2" t="s">
        <v>204</v>
      </c>
      <c r="B98" s="2" t="s">
        <v>181</v>
      </c>
      <c r="C98" s="3">
        <v>1543.9</v>
      </c>
      <c r="F98" s="2" t="s">
        <v>205</v>
      </c>
    </row>
    <row r="99" spans="1:6" x14ac:dyDescent="0.3">
      <c r="A99" s="2" t="s">
        <v>206</v>
      </c>
      <c r="B99" s="2" t="s">
        <v>185</v>
      </c>
      <c r="C99" s="2">
        <v>498</v>
      </c>
      <c r="F99" s="2" t="s">
        <v>95</v>
      </c>
    </row>
    <row r="100" spans="1:6" x14ac:dyDescent="0.3">
      <c r="A100" s="2" t="s">
        <v>207</v>
      </c>
      <c r="B100" s="2" t="s">
        <v>174</v>
      </c>
      <c r="F100" s="2" t="s">
        <v>95</v>
      </c>
    </row>
    <row r="101" spans="1:6" x14ac:dyDescent="0.3">
      <c r="A101" s="2" t="s">
        <v>208</v>
      </c>
      <c r="B101" s="2" t="s">
        <v>209</v>
      </c>
      <c r="C101" s="3">
        <v>67000</v>
      </c>
      <c r="F101" s="2" t="s">
        <v>210</v>
      </c>
    </row>
    <row r="102" spans="1:6" x14ac:dyDescent="0.3">
      <c r="A102" s="2" t="s">
        <v>211</v>
      </c>
      <c r="B102" s="2" t="s">
        <v>212</v>
      </c>
      <c r="C102" s="2">
        <v>5.1929999999999996</v>
      </c>
      <c r="F102" s="2" t="s">
        <v>213</v>
      </c>
    </row>
    <row r="103" spans="1:6" x14ac:dyDescent="0.3">
      <c r="A103" s="2" t="s">
        <v>214</v>
      </c>
      <c r="B103" s="2" t="s">
        <v>212</v>
      </c>
      <c r="C103" s="2">
        <v>5.2569999999999997</v>
      </c>
      <c r="F103" s="2" t="s">
        <v>215</v>
      </c>
    </row>
    <row r="104" spans="1:6" x14ac:dyDescent="0.3">
      <c r="A104" s="2" t="s">
        <v>216</v>
      </c>
      <c r="B104" s="2" t="s">
        <v>174</v>
      </c>
      <c r="C104" s="2">
        <v>14.7</v>
      </c>
      <c r="F104" s="2" t="s">
        <v>217</v>
      </c>
    </row>
    <row r="105" spans="1:6" x14ac:dyDescent="0.3">
      <c r="A105" s="2" t="s">
        <v>218</v>
      </c>
      <c r="B105" s="2" t="s">
        <v>174</v>
      </c>
      <c r="C105" s="2">
        <v>11.21</v>
      </c>
      <c r="F105" s="2" t="s">
        <v>219</v>
      </c>
    </row>
    <row r="106" spans="1:6" x14ac:dyDescent="0.3">
      <c r="A106" s="2" t="s">
        <v>220</v>
      </c>
      <c r="B106" s="2" t="s">
        <v>221</v>
      </c>
      <c r="C106" s="2">
        <v>2.3199999999999998E-2</v>
      </c>
      <c r="F106" s="2" t="s">
        <v>95</v>
      </c>
    </row>
    <row r="107" spans="1:6" x14ac:dyDescent="0.3">
      <c r="A107" s="2" t="s">
        <v>222</v>
      </c>
      <c r="B107" s="2" t="s">
        <v>223</v>
      </c>
      <c r="C107" s="2">
        <v>0.2</v>
      </c>
      <c r="F107" s="2" t="s">
        <v>224</v>
      </c>
    </row>
    <row r="108" spans="1:6" x14ac:dyDescent="0.3">
      <c r="A108" s="2" t="s">
        <v>225</v>
      </c>
      <c r="B108" s="2" t="s">
        <v>20</v>
      </c>
      <c r="C108" s="2">
        <v>0.1</v>
      </c>
      <c r="F108" s="2" t="s">
        <v>226</v>
      </c>
    </row>
    <row r="109" spans="1:6" x14ac:dyDescent="0.3">
      <c r="A109" s="2" t="s">
        <v>227</v>
      </c>
      <c r="B109" s="2" t="s">
        <v>228</v>
      </c>
      <c r="C109" s="2">
        <v>7.0000000000000007E-2</v>
      </c>
      <c r="F109" s="2" t="s">
        <v>229</v>
      </c>
    </row>
    <row r="110" spans="1:6" x14ac:dyDescent="0.3">
      <c r="A110" s="2" t="s">
        <v>230</v>
      </c>
      <c r="B110" s="2" t="s">
        <v>31</v>
      </c>
      <c r="C110" s="2">
        <v>20</v>
      </c>
      <c r="F110" s="2" t="s">
        <v>231</v>
      </c>
    </row>
    <row r="111" spans="1:6" x14ac:dyDescent="0.3">
      <c r="A111" s="2" t="s">
        <v>232</v>
      </c>
      <c r="B111" s="2" t="s">
        <v>31</v>
      </c>
      <c r="C111" s="2">
        <v>30</v>
      </c>
      <c r="F111" s="2" t="s">
        <v>231</v>
      </c>
    </row>
    <row r="112" spans="1:6" x14ac:dyDescent="0.3">
      <c r="A112" s="2" t="s">
        <v>233</v>
      </c>
      <c r="B112" s="2" t="s">
        <v>31</v>
      </c>
      <c r="C112" s="2">
        <v>20</v>
      </c>
      <c r="F112" s="2" t="s">
        <v>234</v>
      </c>
    </row>
    <row r="113" spans="1:6" x14ac:dyDescent="0.3">
      <c r="A113" s="2" t="s">
        <v>235</v>
      </c>
      <c r="B113" s="2" t="s">
        <v>31</v>
      </c>
      <c r="C113" s="2">
        <v>25</v>
      </c>
      <c r="F113" s="2" t="s">
        <v>234</v>
      </c>
    </row>
    <row r="114" spans="1:6" x14ac:dyDescent="0.3">
      <c r="A114" s="2" t="s">
        <v>236</v>
      </c>
      <c r="B114" s="2" t="s">
        <v>31</v>
      </c>
      <c r="C114" s="2">
        <v>25</v>
      </c>
      <c r="F114" s="2" t="s">
        <v>237</v>
      </c>
    </row>
    <row r="115" spans="1:6" x14ac:dyDescent="0.3">
      <c r="A115" s="2" t="s">
        <v>238</v>
      </c>
      <c r="B115" s="2" t="s">
        <v>31</v>
      </c>
      <c r="C115" s="2">
        <v>20</v>
      </c>
      <c r="F115" s="2" t="s">
        <v>239</v>
      </c>
    </row>
    <row r="116" spans="1:6" x14ac:dyDescent="0.3">
      <c r="A116" s="2" t="s">
        <v>240</v>
      </c>
      <c r="B116" s="2" t="s">
        <v>31</v>
      </c>
      <c r="C116" s="2">
        <v>2</v>
      </c>
      <c r="F116" s="2" t="s">
        <v>239</v>
      </c>
    </row>
    <row r="117" spans="1:6" x14ac:dyDescent="0.3">
      <c r="A117" s="2" t="s">
        <v>241</v>
      </c>
      <c r="B117" s="2" t="s">
        <v>31</v>
      </c>
      <c r="C117" s="2">
        <v>30</v>
      </c>
      <c r="F117" s="2" t="s">
        <v>242</v>
      </c>
    </row>
    <row r="118" spans="1:6" x14ac:dyDescent="0.3">
      <c r="A118" s="2" t="s">
        <v>243</v>
      </c>
      <c r="B118" s="2" t="s">
        <v>31</v>
      </c>
      <c r="C118" s="2">
        <v>12</v>
      </c>
      <c r="F118" s="2" t="s">
        <v>244</v>
      </c>
    </row>
    <row r="119" spans="1:6" x14ac:dyDescent="0.3">
      <c r="A119" s="2" t="s">
        <v>245</v>
      </c>
      <c r="B119" s="2" t="s">
        <v>31</v>
      </c>
      <c r="C119" s="2">
        <v>5</v>
      </c>
      <c r="F119" s="2" t="s">
        <v>246</v>
      </c>
    </row>
    <row r="120" spans="1:6" x14ac:dyDescent="0.3">
      <c r="A120" s="2" t="s">
        <v>247</v>
      </c>
      <c r="B120" s="2" t="s">
        <v>31</v>
      </c>
      <c r="C120" s="2">
        <v>5</v>
      </c>
      <c r="F120" s="2" t="s">
        <v>248</v>
      </c>
    </row>
    <row r="121" spans="1:6" x14ac:dyDescent="0.3">
      <c r="A121" s="2" t="s">
        <v>249</v>
      </c>
      <c r="B121" s="2" t="s">
        <v>31</v>
      </c>
      <c r="C121" s="2">
        <v>15</v>
      </c>
      <c r="F121" s="2" t="s">
        <v>250</v>
      </c>
    </row>
    <row r="122" spans="1:6" x14ac:dyDescent="0.3">
      <c r="A122" s="2" t="s">
        <v>251</v>
      </c>
      <c r="B122" s="2" t="s">
        <v>28</v>
      </c>
      <c r="C122" s="2">
        <v>1.33</v>
      </c>
      <c r="F122" s="2" t="s">
        <v>252</v>
      </c>
    </row>
    <row r="123" spans="1:6" x14ac:dyDescent="0.3">
      <c r="A123" s="2" t="s">
        <v>253</v>
      </c>
      <c r="B123" s="2" t="s">
        <v>28</v>
      </c>
      <c r="C123" s="2">
        <v>0.8</v>
      </c>
      <c r="F123" s="2" t="s">
        <v>254</v>
      </c>
    </row>
    <row r="124" spans="1:6" x14ac:dyDescent="0.3">
      <c r="A124" s="2" t="s">
        <v>255</v>
      </c>
      <c r="B124" s="2" t="s">
        <v>20</v>
      </c>
      <c r="C124" s="2">
        <v>6.5500000000000003E-2</v>
      </c>
      <c r="F124" s="2" t="s">
        <v>256</v>
      </c>
    </row>
    <row r="125" spans="1:6" x14ac:dyDescent="0.3">
      <c r="A125" s="2" t="s">
        <v>257</v>
      </c>
      <c r="B125" s="2" t="s">
        <v>20</v>
      </c>
      <c r="C125" s="2">
        <v>7.5899999999999995E-2</v>
      </c>
      <c r="F125" s="2" t="s">
        <v>256</v>
      </c>
    </row>
    <row r="126" spans="1:6" x14ac:dyDescent="0.3">
      <c r="A126" s="2" t="s">
        <v>258</v>
      </c>
      <c r="B126" s="2" t="s">
        <v>31</v>
      </c>
      <c r="C126" s="2">
        <v>1</v>
      </c>
      <c r="F126" s="2" t="s">
        <v>259</v>
      </c>
    </row>
    <row r="127" spans="1:6" x14ac:dyDescent="0.3">
      <c r="A127" s="2" t="s">
        <v>260</v>
      </c>
      <c r="B127" s="2" t="s">
        <v>31</v>
      </c>
      <c r="C127" s="2">
        <v>20</v>
      </c>
      <c r="F127" s="2" t="s">
        <v>35</v>
      </c>
    </row>
    <row r="128" spans="1:6" x14ac:dyDescent="0.3">
      <c r="A128" s="2" t="s">
        <v>261</v>
      </c>
      <c r="B128" s="2" t="s">
        <v>31</v>
      </c>
      <c r="C128" s="2">
        <v>20</v>
      </c>
      <c r="F128" s="2" t="s">
        <v>262</v>
      </c>
    </row>
    <row r="129" spans="1:6" x14ac:dyDescent="0.3">
      <c r="A129" s="2" t="s">
        <v>263</v>
      </c>
      <c r="B129" s="2" t="s">
        <v>97</v>
      </c>
      <c r="C129" s="3">
        <v>428000</v>
      </c>
      <c r="F129" s="2" t="s">
        <v>157</v>
      </c>
    </row>
    <row r="130" spans="1:6" x14ac:dyDescent="0.3">
      <c r="A130" s="2" t="s">
        <v>264</v>
      </c>
      <c r="B130" s="2" t="s">
        <v>97</v>
      </c>
      <c r="C130" s="3">
        <v>11153000</v>
      </c>
      <c r="F130" s="2" t="s">
        <v>157</v>
      </c>
    </row>
    <row r="131" spans="1:6" x14ac:dyDescent="0.3">
      <c r="A131" s="2" t="s">
        <v>265</v>
      </c>
      <c r="B131" s="2" t="s">
        <v>97</v>
      </c>
      <c r="C131" s="3">
        <v>28150000</v>
      </c>
      <c r="F131" s="2" t="s">
        <v>157</v>
      </c>
    </row>
    <row r="132" spans="1:6" x14ac:dyDescent="0.3">
      <c r="A132" s="2" t="s">
        <v>266</v>
      </c>
      <c r="B132" s="2" t="s">
        <v>140</v>
      </c>
      <c r="C132" s="2">
        <v>9.5</v>
      </c>
      <c r="F132" s="2" t="s">
        <v>141</v>
      </c>
    </row>
    <row r="133" spans="1:6" x14ac:dyDescent="0.3">
      <c r="A133" s="2" t="s">
        <v>267</v>
      </c>
      <c r="B133" s="2" t="s">
        <v>181</v>
      </c>
      <c r="C133" s="3">
        <v>6705</v>
      </c>
      <c r="F133" s="2" t="s">
        <v>268</v>
      </c>
    </row>
    <row r="134" spans="1:6" x14ac:dyDescent="0.3">
      <c r="A134" s="2" t="s">
        <v>269</v>
      </c>
      <c r="B134" s="2" t="s">
        <v>181</v>
      </c>
      <c r="C134" s="3">
        <v>1455</v>
      </c>
      <c r="F134" s="2" t="s">
        <v>268</v>
      </c>
    </row>
    <row r="135" spans="1:6" x14ac:dyDescent="0.3">
      <c r="A135" s="2" t="s">
        <v>270</v>
      </c>
      <c r="B135" s="2" t="s">
        <v>181</v>
      </c>
      <c r="C135" s="3">
        <v>18396</v>
      </c>
      <c r="F135" s="2" t="s">
        <v>268</v>
      </c>
    </row>
    <row r="136" spans="1:6" x14ac:dyDescent="0.3">
      <c r="A136" s="2" t="s">
        <v>271</v>
      </c>
      <c r="B136" s="2" t="s">
        <v>73</v>
      </c>
      <c r="C136" s="3">
        <v>1750</v>
      </c>
      <c r="F136" s="2" t="s">
        <v>272</v>
      </c>
    </row>
    <row r="137" spans="1:6" x14ac:dyDescent="0.3">
      <c r="A137" s="2" t="s">
        <v>273</v>
      </c>
      <c r="B137" s="2" t="s">
        <v>37</v>
      </c>
      <c r="C137" s="2">
        <v>0.79</v>
      </c>
      <c r="F137" s="2" t="s">
        <v>274</v>
      </c>
    </row>
    <row r="138" spans="1:6" x14ac:dyDescent="0.3">
      <c r="A138" s="2" t="s">
        <v>275</v>
      </c>
      <c r="B138" s="2" t="s">
        <v>276</v>
      </c>
      <c r="C138" s="2">
        <v>4.2694000000000001</v>
      </c>
      <c r="F138" s="2" t="s">
        <v>277</v>
      </c>
    </row>
    <row r="139" spans="1:6" x14ac:dyDescent="0.3">
      <c r="A139" s="2" t="s">
        <v>278</v>
      </c>
      <c r="B139" s="2" t="s">
        <v>279</v>
      </c>
      <c r="C139" s="3">
        <v>3449</v>
      </c>
      <c r="F139" s="2" t="s">
        <v>280</v>
      </c>
    </row>
    <row r="140" spans="1:6" x14ac:dyDescent="0.3">
      <c r="A140" s="2" t="s">
        <v>281</v>
      </c>
      <c r="B140" s="2" t="s">
        <v>37</v>
      </c>
      <c r="C140" s="2">
        <v>0.65500000000000003</v>
      </c>
      <c r="F140" s="2" t="s">
        <v>280</v>
      </c>
    </row>
    <row r="141" spans="1:6" x14ac:dyDescent="0.3">
      <c r="A141" s="2" t="s">
        <v>30</v>
      </c>
      <c r="B141" s="2" t="s">
        <v>31</v>
      </c>
      <c r="C141" s="2">
        <v>20</v>
      </c>
      <c r="D141" s="2">
        <v>20</v>
      </c>
      <c r="E141" s="2">
        <v>25</v>
      </c>
      <c r="F141" s="2" t="s">
        <v>32</v>
      </c>
    </row>
    <row r="142" spans="1:6" x14ac:dyDescent="0.3">
      <c r="A142" s="2" t="s">
        <v>282</v>
      </c>
      <c r="B142" s="2" t="s">
        <v>31</v>
      </c>
      <c r="C142" s="2">
        <v>2</v>
      </c>
      <c r="D142" s="2">
        <v>3</v>
      </c>
      <c r="E142" s="2">
        <v>2</v>
      </c>
      <c r="F142" s="2" t="s">
        <v>283</v>
      </c>
    </row>
    <row r="143" spans="1:6" x14ac:dyDescent="0.3">
      <c r="A143" s="2" t="s">
        <v>33</v>
      </c>
      <c r="B143" s="2" t="s">
        <v>20</v>
      </c>
      <c r="C143" s="2">
        <v>0.08</v>
      </c>
      <c r="D143" s="2">
        <v>0.1</v>
      </c>
      <c r="E143" s="2">
        <v>7.0000000000000007E-2</v>
      </c>
      <c r="F143" s="2" t="s">
        <v>32</v>
      </c>
    </row>
    <row r="144" spans="1:6" x14ac:dyDescent="0.3">
      <c r="A144" s="2" t="s">
        <v>34</v>
      </c>
      <c r="B144" s="2" t="s">
        <v>14</v>
      </c>
      <c r="C144" s="2">
        <v>7.5</v>
      </c>
      <c r="D144" s="2">
        <v>3.46</v>
      </c>
      <c r="E144" s="2">
        <v>14.7</v>
      </c>
      <c r="F144" s="2" t="s">
        <v>35</v>
      </c>
    </row>
    <row r="145" spans="1:6" x14ac:dyDescent="0.3">
      <c r="A145" s="2" t="s">
        <v>284</v>
      </c>
      <c r="B145" s="2" t="s">
        <v>285</v>
      </c>
      <c r="C145" s="2">
        <v>0.59</v>
      </c>
      <c r="D145" s="2">
        <v>0.36</v>
      </c>
      <c r="E145" s="2">
        <v>0.75</v>
      </c>
      <c r="F145" s="2" t="s">
        <v>286</v>
      </c>
    </row>
    <row r="146" spans="1:6" x14ac:dyDescent="0.3">
      <c r="A146" s="2" t="s">
        <v>36</v>
      </c>
      <c r="B146" s="2" t="s">
        <v>37</v>
      </c>
      <c r="C146" s="2">
        <v>0.3</v>
      </c>
      <c r="D146" s="2">
        <v>0.1</v>
      </c>
      <c r="E146" s="2">
        <v>0.5</v>
      </c>
      <c r="F146" s="2" t="s">
        <v>35</v>
      </c>
    </row>
    <row r="147" spans="1:6" x14ac:dyDescent="0.3">
      <c r="A147" s="2" t="s">
        <v>38</v>
      </c>
      <c r="B147" s="2" t="s">
        <v>37</v>
      </c>
      <c r="C147" s="2">
        <v>0.3</v>
      </c>
      <c r="D147" s="2">
        <v>0.5</v>
      </c>
      <c r="E147" s="2">
        <v>0.1</v>
      </c>
      <c r="F147" s="2" t="s">
        <v>35</v>
      </c>
    </row>
    <row r="148" spans="1:6" x14ac:dyDescent="0.3">
      <c r="A148" s="2" t="s">
        <v>39</v>
      </c>
      <c r="B148" s="2" t="s">
        <v>40</v>
      </c>
      <c r="C148" s="3">
        <v>10000</v>
      </c>
      <c r="D148" s="3">
        <v>1862</v>
      </c>
      <c r="E148" s="3">
        <v>20000</v>
      </c>
      <c r="F148" s="2" t="s">
        <v>41</v>
      </c>
    </row>
    <row r="149" spans="1:6" x14ac:dyDescent="0.3">
      <c r="A149" s="2" t="s">
        <v>42</v>
      </c>
      <c r="B149" s="2" t="s">
        <v>37</v>
      </c>
      <c r="C149" s="2">
        <v>0.5</v>
      </c>
      <c r="D149" s="2">
        <v>0.3</v>
      </c>
      <c r="E149" s="2">
        <v>0.7</v>
      </c>
      <c r="F149" s="2" t="s">
        <v>35</v>
      </c>
    </row>
    <row r="150" spans="1:6" x14ac:dyDescent="0.3">
      <c r="A150" s="2" t="s">
        <v>43</v>
      </c>
      <c r="B150" s="2" t="s">
        <v>44</v>
      </c>
      <c r="C150" s="2">
        <v>6.5421000000000007E-2</v>
      </c>
      <c r="D150" s="2">
        <v>0</v>
      </c>
      <c r="E150" s="2">
        <v>9.0909000000000004E-2</v>
      </c>
      <c r="F150" s="2" t="s">
        <v>45</v>
      </c>
    </row>
    <row r="151" spans="1:6" x14ac:dyDescent="0.3">
      <c r="A151" s="2" t="s">
        <v>287</v>
      </c>
      <c r="B151" s="2" t="s">
        <v>288</v>
      </c>
      <c r="C151" s="2">
        <v>0.93830000000000002</v>
      </c>
      <c r="D151" s="2">
        <v>1.2145999999999999</v>
      </c>
      <c r="E151" s="2">
        <v>0.7</v>
      </c>
      <c r="F151" s="2" t="s">
        <v>268</v>
      </c>
    </row>
    <row r="152" spans="1:6" x14ac:dyDescent="0.3">
      <c r="A152" s="2" t="s">
        <v>289</v>
      </c>
      <c r="B152" s="2" t="s">
        <v>290</v>
      </c>
      <c r="C152" s="3">
        <v>2877</v>
      </c>
      <c r="D152" s="3">
        <v>2158</v>
      </c>
      <c r="E152" s="3">
        <v>4038</v>
      </c>
      <c r="F152" s="2" t="s">
        <v>291</v>
      </c>
    </row>
    <row r="153" spans="1:6" x14ac:dyDescent="0.3">
      <c r="A153" s="2" t="s">
        <v>292</v>
      </c>
      <c r="B153" s="2" t="s">
        <v>293</v>
      </c>
      <c r="C153" s="2">
        <v>10.66</v>
      </c>
      <c r="D153" s="2">
        <v>12</v>
      </c>
      <c r="E153" s="2">
        <v>5</v>
      </c>
      <c r="F153" s="2" t="s">
        <v>35</v>
      </c>
    </row>
    <row r="154" spans="1:6" x14ac:dyDescent="0.3">
      <c r="A154" s="2" t="s">
        <v>294</v>
      </c>
      <c r="B154" s="2" t="s">
        <v>295</v>
      </c>
      <c r="C154" s="2">
        <v>2</v>
      </c>
      <c r="D154" s="2">
        <v>1.5</v>
      </c>
      <c r="E154" s="2">
        <v>2.5</v>
      </c>
      <c r="F154" s="2" t="s">
        <v>35</v>
      </c>
    </row>
    <row r="155" spans="1:6" x14ac:dyDescent="0.3">
      <c r="A155" s="2" t="s">
        <v>296</v>
      </c>
      <c r="B155" s="2" t="s">
        <v>297</v>
      </c>
      <c r="C155" s="2">
        <v>2</v>
      </c>
      <c r="D155" s="2">
        <v>2</v>
      </c>
      <c r="E155" s="2">
        <v>1</v>
      </c>
      <c r="F155" s="2" t="s">
        <v>35</v>
      </c>
    </row>
    <row r="156" spans="1:6" x14ac:dyDescent="0.3">
      <c r="A156" s="2" t="s">
        <v>298</v>
      </c>
      <c r="B156" s="2" t="s">
        <v>58</v>
      </c>
      <c r="C156" s="3">
        <v>370210</v>
      </c>
      <c r="D156" s="3">
        <v>1000000</v>
      </c>
      <c r="E156" s="3">
        <v>100000</v>
      </c>
      <c r="F156" s="2" t="s">
        <v>299</v>
      </c>
    </row>
    <row r="157" spans="1:6" x14ac:dyDescent="0.3">
      <c r="A157" s="2" t="s">
        <v>300</v>
      </c>
      <c r="B157" s="2" t="s">
        <v>58</v>
      </c>
      <c r="C157" s="2">
        <v>0</v>
      </c>
      <c r="D157" s="2">
        <v>0</v>
      </c>
      <c r="E157" s="3">
        <v>3700000</v>
      </c>
      <c r="F157" s="2" t="s">
        <v>35</v>
      </c>
    </row>
    <row r="158" spans="1:6" x14ac:dyDescent="0.3">
      <c r="A158" s="2" t="s">
        <v>301</v>
      </c>
      <c r="B158" s="2" t="s">
        <v>47</v>
      </c>
      <c r="C158" s="2">
        <v>0.5</v>
      </c>
      <c r="D158" s="2">
        <v>1</v>
      </c>
      <c r="E158" s="2">
        <v>0</v>
      </c>
      <c r="F158" s="2" t="s">
        <v>35</v>
      </c>
    </row>
    <row r="159" spans="1:6" x14ac:dyDescent="0.3">
      <c r="A159" s="2" t="s">
        <v>302</v>
      </c>
      <c r="B159" s="2" t="s">
        <v>73</v>
      </c>
      <c r="C159" s="3">
        <v>31581</v>
      </c>
      <c r="D159" s="3">
        <v>31581</v>
      </c>
      <c r="E159" s="3">
        <v>31581</v>
      </c>
      <c r="F159" s="2" t="s">
        <v>81</v>
      </c>
    </row>
    <row r="160" spans="1:6" x14ac:dyDescent="0.3">
      <c r="A160" s="2" t="s">
        <v>303</v>
      </c>
      <c r="B160" s="2" t="s">
        <v>37</v>
      </c>
      <c r="C160" s="2">
        <v>0.80420000000000003</v>
      </c>
      <c r="D160" s="2">
        <v>0.80420000000000003</v>
      </c>
      <c r="E160" s="2">
        <v>0.80420000000000003</v>
      </c>
      <c r="F160" s="2" t="s">
        <v>304</v>
      </c>
    </row>
    <row r="161" spans="1:6" x14ac:dyDescent="0.3">
      <c r="A161" s="2" t="s">
        <v>305</v>
      </c>
      <c r="B161" s="2" t="s">
        <v>37</v>
      </c>
      <c r="C161" s="2">
        <v>0.85</v>
      </c>
      <c r="D161" s="2">
        <v>0.80420000000000003</v>
      </c>
      <c r="E161" s="2">
        <v>0.9</v>
      </c>
      <c r="F161" s="2" t="s">
        <v>35</v>
      </c>
    </row>
    <row r="163" spans="1:6" x14ac:dyDescent="0.3">
      <c r="A163" s="1" t="s">
        <v>306</v>
      </c>
    </row>
    <row r="164" spans="1:6" x14ac:dyDescent="0.3">
      <c r="A164" s="2" t="s">
        <v>307</v>
      </c>
      <c r="B164" s="2" t="s">
        <v>7</v>
      </c>
      <c r="C164" s="2">
        <f>C3</f>
        <v>200</v>
      </c>
      <c r="F164" s="2" t="s">
        <v>308</v>
      </c>
    </row>
    <row r="165" spans="1:6" x14ac:dyDescent="0.3">
      <c r="A165" s="2" t="s">
        <v>309</v>
      </c>
      <c r="B165" s="2" t="s">
        <v>37</v>
      </c>
      <c r="C165" s="2">
        <v>0</v>
      </c>
      <c r="F165" s="2" t="s">
        <v>35</v>
      </c>
    </row>
    <row r="166" spans="1:6" x14ac:dyDescent="0.3">
      <c r="A166" s="2" t="s">
        <v>310</v>
      </c>
      <c r="B166" s="2" t="s">
        <v>311</v>
      </c>
      <c r="C166" s="2">
        <f>C134/C135</f>
        <v>7.9093281148075664E-2</v>
      </c>
      <c r="F166" s="2" t="s">
        <v>268</v>
      </c>
    </row>
    <row r="167" spans="1:6" x14ac:dyDescent="0.3">
      <c r="A167" s="2" t="s">
        <v>312</v>
      </c>
      <c r="B167" s="2" t="s">
        <v>28</v>
      </c>
      <c r="C167" s="2">
        <f>C107</f>
        <v>0.2</v>
      </c>
      <c r="F167" s="2" t="s">
        <v>224</v>
      </c>
    </row>
    <row r="168" spans="1:6" x14ac:dyDescent="0.3">
      <c r="A168" s="2" t="s">
        <v>313</v>
      </c>
      <c r="B168" s="2" t="s">
        <v>31</v>
      </c>
      <c r="C168" s="2">
        <f>C127</f>
        <v>20</v>
      </c>
      <c r="F168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5"/>
  <sheetViews>
    <sheetView workbookViewId="0">
      <pane ySplit="4" topLeftCell="A5" activePane="bottomLeft" state="frozen"/>
      <selection pane="bottomLeft"/>
    </sheetView>
  </sheetViews>
  <sheetFormatPr defaultRowHeight="14" x14ac:dyDescent="0.3"/>
  <cols>
    <col min="1" max="1" width="52" style="2" customWidth="1"/>
    <col min="2" max="2" width="16" style="2" customWidth="1"/>
    <col min="3" max="3" width="18" style="2" customWidth="1"/>
    <col min="4" max="5" width="14" style="2" customWidth="1"/>
    <col min="6" max="6" width="16" style="2" customWidth="1"/>
    <col min="7" max="8" width="18" style="2" customWidth="1"/>
    <col min="9" max="9" width="14" style="2" customWidth="1"/>
    <col min="10" max="10" width="16" style="2" customWidth="1"/>
    <col min="11" max="11" width="18" style="2" customWidth="1"/>
    <col min="12" max="15" width="16" style="2" customWidth="1"/>
    <col min="16" max="16" width="12" style="2" customWidth="1"/>
    <col min="17" max="18" width="16" style="2" customWidth="1"/>
    <col min="19" max="19" width="18" style="2" customWidth="1"/>
    <col min="20" max="20" width="8.7265625" style="2"/>
    <col min="21" max="22" width="18.6328125" style="2" customWidth="1"/>
    <col min="23" max="16384" width="8.7265625" style="2"/>
  </cols>
  <sheetData>
    <row r="1" spans="1:3" ht="15" x14ac:dyDescent="0.3">
      <c r="A1" s="4" t="s">
        <v>314</v>
      </c>
    </row>
    <row r="4" spans="1:3" x14ac:dyDescent="0.3">
      <c r="A4" s="2" t="s">
        <v>0</v>
      </c>
      <c r="B4" s="2" t="s">
        <v>315</v>
      </c>
      <c r="C4" s="2" t="s">
        <v>316</v>
      </c>
    </row>
    <row r="5" spans="1:3" x14ac:dyDescent="0.3">
      <c r="A5" s="2" t="s">
        <v>317</v>
      </c>
      <c r="B5" s="5">
        <f>Inputs!$C$133/Inputs!$C$84</f>
        <v>0.77122153209109734</v>
      </c>
      <c r="C5" s="5">
        <f>B5</f>
        <v>0.77122153209109734</v>
      </c>
    </row>
    <row r="6" spans="1:3" x14ac:dyDescent="0.3">
      <c r="A6" s="2" t="s">
        <v>318</v>
      </c>
      <c r="B6" s="2">
        <f>Inputs!$C$143</f>
        <v>0.08</v>
      </c>
      <c r="C6" s="2">
        <f>B6</f>
        <v>0.08</v>
      </c>
    </row>
    <row r="7" spans="1:3" x14ac:dyDescent="0.3">
      <c r="A7" s="2" t="s">
        <v>319</v>
      </c>
      <c r="B7" s="2">
        <f>Inputs!$C$141</f>
        <v>20</v>
      </c>
      <c r="C7" s="2">
        <f>B7</f>
        <v>20</v>
      </c>
    </row>
    <row r="8" spans="1:3" x14ac:dyDescent="0.3">
      <c r="A8" s="2" t="s">
        <v>282</v>
      </c>
      <c r="B8" s="2">
        <f>Inputs!$C$142</f>
        <v>2</v>
      </c>
      <c r="C8" s="2">
        <f>B8</f>
        <v>2</v>
      </c>
    </row>
    <row r="9" spans="1:3" x14ac:dyDescent="0.3">
      <c r="A9" s="2" t="s">
        <v>320</v>
      </c>
      <c r="B9" s="2">
        <f>Inputs!$C$164</f>
        <v>200</v>
      </c>
      <c r="C9" s="2">
        <f>Inputs!$C$2</f>
        <v>300</v>
      </c>
    </row>
    <row r="10" spans="1:3" x14ac:dyDescent="0.3">
      <c r="A10" s="2" t="s">
        <v>321</v>
      </c>
      <c r="B10" s="2">
        <f>Inputs!$C$144</f>
        <v>7.5</v>
      </c>
      <c r="C10" s="2">
        <f>B10</f>
        <v>7.5</v>
      </c>
    </row>
    <row r="11" spans="1:3" x14ac:dyDescent="0.3">
      <c r="A11" s="2" t="s">
        <v>322</v>
      </c>
      <c r="B11" s="2">
        <f>Inputs!$C$145</f>
        <v>0.59</v>
      </c>
      <c r="C11" s="2">
        <f>B11</f>
        <v>0.59</v>
      </c>
    </row>
    <row r="12" spans="1:3" x14ac:dyDescent="0.3">
      <c r="A12" s="2" t="s">
        <v>323</v>
      </c>
      <c r="B12" s="2">
        <f>MIN(Inputs!$C$26/Inputs!$C$155,Inputs!$C$159*365*Inputs!$C$154/Inputs!$C$153)/1000000</f>
        <v>1.85</v>
      </c>
      <c r="C12" s="2">
        <f>B12</f>
        <v>1.85</v>
      </c>
    </row>
    <row r="13" spans="1:3" x14ac:dyDescent="0.3">
      <c r="A13" s="2" t="s">
        <v>324</v>
      </c>
      <c r="B13" s="2">
        <f>Inputs!$C$152</f>
        <v>2877</v>
      </c>
      <c r="C13" s="2">
        <f>B13</f>
        <v>2877</v>
      </c>
    </row>
    <row r="14" spans="1:3" x14ac:dyDescent="0.3">
      <c r="A14" s="2" t="s">
        <v>325</v>
      </c>
      <c r="B14" s="2">
        <f>B10-MAX(B10*B11-B12,0)</f>
        <v>4.9250000000000007</v>
      </c>
      <c r="C14" s="2">
        <f>B14</f>
        <v>4.9250000000000007</v>
      </c>
    </row>
    <row r="15" spans="1:3" x14ac:dyDescent="0.3">
      <c r="A15" s="2" t="s">
        <v>326</v>
      </c>
      <c r="B15" s="2">
        <f>B14*(B13+B19*Inputs!$D$148)/1000</f>
        <v>23.339575000000004</v>
      </c>
      <c r="C15" s="2">
        <f>B14*(C13+C19*Inputs!$D$148)/1000</f>
        <v>14.169225000000003</v>
      </c>
    </row>
    <row r="16" spans="1:3" x14ac:dyDescent="0.3">
      <c r="A16" s="2" t="s">
        <v>309</v>
      </c>
      <c r="B16" s="2">
        <f>Inputs!$C$165</f>
        <v>0</v>
      </c>
      <c r="C16" s="2">
        <f>B16</f>
        <v>0</v>
      </c>
    </row>
    <row r="17" spans="1:3" x14ac:dyDescent="0.3">
      <c r="A17" s="2" t="s">
        <v>312</v>
      </c>
      <c r="B17" s="2">
        <f>Inputs!$C$167</f>
        <v>0.2</v>
      </c>
      <c r="C17" s="2">
        <f>B17</f>
        <v>0.2</v>
      </c>
    </row>
    <row r="18" spans="1:3" x14ac:dyDescent="0.3">
      <c r="A18" s="2" t="s">
        <v>313</v>
      </c>
      <c r="B18" s="2">
        <f>Inputs!$C$168</f>
        <v>20</v>
      </c>
      <c r="C18" s="2">
        <f>B18</f>
        <v>20</v>
      </c>
    </row>
    <row r="19" spans="1:3" x14ac:dyDescent="0.3">
      <c r="A19" s="2" t="s">
        <v>327</v>
      </c>
      <c r="B19" s="2">
        <v>1</v>
      </c>
      <c r="C19" s="2">
        <v>0</v>
      </c>
    </row>
    <row r="20" spans="1:3" x14ac:dyDescent="0.3">
      <c r="A20" s="2" t="s">
        <v>328</v>
      </c>
      <c r="B20" s="2" t="s">
        <v>315</v>
      </c>
      <c r="C20" s="2" t="s">
        <v>316</v>
      </c>
    </row>
    <row r="21" spans="1:3" x14ac:dyDescent="0.3">
      <c r="A21" s="2" t="s">
        <v>329</v>
      </c>
      <c r="B21" s="6">
        <f>SUM(K41:K63)</f>
        <v>-144.05101535660106</v>
      </c>
      <c r="C21" s="6">
        <f>(C15*(1-C5)-C16*C9)*B27-(C9/B9)*B28</f>
        <v>-259.41977774562076</v>
      </c>
    </row>
    <row r="22" spans="1:3" x14ac:dyDescent="0.3">
      <c r="A22" s="2" t="s">
        <v>330</v>
      </c>
      <c r="B22" s="6">
        <f>IF($B$18&lt;$B$7,"n/a",SUM(R41:R63))</f>
        <v>-144.05101535660106</v>
      </c>
      <c r="C22" s="6">
        <f>IF(C18&lt;C7,"n/a",C21)</f>
        <v>-259.41977774562076</v>
      </c>
    </row>
    <row r="23" spans="1:3" x14ac:dyDescent="0.3">
      <c r="A23" s="2" t="s">
        <v>331</v>
      </c>
      <c r="B23" s="7">
        <f>IF($B$18&lt;$B$7,"n/a",IRR(Q41:Q63,-0.1))</f>
        <v>-5.1509439628371956E-2</v>
      </c>
      <c r="C23" s="2" t="s">
        <v>332</v>
      </c>
    </row>
    <row r="24" spans="1:3" x14ac:dyDescent="0.3">
      <c r="A24" s="2" t="s">
        <v>333</v>
      </c>
      <c r="B24" s="6">
        <f>B15*(1-B5)*B27/(B16*B27+B28/B9)</f>
        <v>50.408560975837332</v>
      </c>
      <c r="C24" s="6">
        <f>B24</f>
        <v>50.408560975837332</v>
      </c>
    </row>
    <row r="25" spans="1:3" x14ac:dyDescent="0.3">
      <c r="A25" s="2" t="s">
        <v>334</v>
      </c>
      <c r="B25" s="6">
        <f>B10-B21/((1-B5)*(B13+B19*Inputs!$D$148)/1000*(1-B11)*B27)</f>
        <v>43.147150391637652</v>
      </c>
      <c r="C25" s="6">
        <f>B10-C21/((1-C5)*C13/1000*(1-C11)*B27)</f>
        <v>113.24465492439792</v>
      </c>
    </row>
    <row r="27" spans="1:3" x14ac:dyDescent="0.3">
      <c r="A27" s="2" t="s">
        <v>335</v>
      </c>
      <c r="B27" s="2">
        <f>SUMPRODUCT(B41:B63,D41:D63)</f>
        <v>9.0908772291197089</v>
      </c>
    </row>
    <row r="28" spans="1:3" x14ac:dyDescent="0.3">
      <c r="A28" s="2" t="s">
        <v>336</v>
      </c>
      <c r="B28" s="6">
        <f>SUMPRODUCT(E41:E63,B41:B63)</f>
        <v>192.59259259259258</v>
      </c>
    </row>
    <row r="32" spans="1:3" x14ac:dyDescent="0.3">
      <c r="A32" s="2" t="s">
        <v>337</v>
      </c>
      <c r="B32" s="2" t="str">
        <f>IF(B18&lt;B7,"No","Yes")</f>
        <v>Yes</v>
      </c>
      <c r="C32" s="2" t="str">
        <f>IF(C18&lt;C7,"No","Yes")</f>
        <v>Yes</v>
      </c>
    </row>
    <row r="33" spans="1:22" x14ac:dyDescent="0.3">
      <c r="A33" s="15" t="s">
        <v>440</v>
      </c>
      <c r="B33" s="12">
        <f>SUM(J41:J63)</f>
        <v>-93.208155797101426</v>
      </c>
      <c r="C33" s="12">
        <f>(C15*(1-C5)-C16*C9)*B7-C9</f>
        <v>-235.16772826086958</v>
      </c>
    </row>
    <row r="34" spans="1:22" x14ac:dyDescent="0.3">
      <c r="A34" s="15" t="s">
        <v>441</v>
      </c>
      <c r="B34" s="13">
        <f>IF(B15*(1-B5)-B16*B9&lt;=0,"never",B9/(B15*(1-B5)-B16*B9))</f>
        <v>37.456043856684623</v>
      </c>
      <c r="C34" s="13">
        <f>IF(C15*(1-C5)-C16*C9&lt;=0,"never",C9/(C15*(1-C5)-C16*C9))</f>
        <v>92.546502521808364</v>
      </c>
    </row>
    <row r="35" spans="1:22" x14ac:dyDescent="0.3">
      <c r="A35" s="15" t="s">
        <v>442</v>
      </c>
      <c r="B35" s="13">
        <f>IF(ISNUMBER(B34),B8+B34,"never")</f>
        <v>39.456043856684623</v>
      </c>
      <c r="C35" s="13">
        <f>IF(ISNUMBER(C34),C8+C34,"never")</f>
        <v>94.546502521808364</v>
      </c>
    </row>
    <row r="36" spans="1:22" x14ac:dyDescent="0.3">
      <c r="A36" s="15" t="s">
        <v>443</v>
      </c>
      <c r="B36" s="14" t="str">
        <f>IF(ISNUMBER(B34),IF(B34&lt;=B7,"Yes","No"),"No")</f>
        <v>No</v>
      </c>
      <c r="C36" s="14" t="str">
        <f>IF(ISNUMBER(C34),IF(C34&lt;=C7,"Yes","No"),"No")</f>
        <v>No</v>
      </c>
    </row>
    <row r="37" spans="1:22" x14ac:dyDescent="0.3">
      <c r="A37" s="15" t="s">
        <v>444</v>
      </c>
      <c r="B37" s="13" t="str">
        <f>IF(B15*(1-B5)-B16*B9&lt;=0,"never",IF(B28*B6*(1+B6)^(B8-1)/(B15*(1-B5)-B16*B9)&gt;=1,"never",B8-LN(1-B28*B6*(1+B6)^(B8-1)/(B15*(1-B5)-B16*B9))/LN(1+B6)))</f>
        <v>never</v>
      </c>
      <c r="C37" s="13" t="str">
        <f>IF(C15*(1-C5)-C16*C9&lt;=0,"never",IF((C9/B9)*B28*C6*(1+C6)^(C8-1)/(C15*(1-C5)-C16*C9)&gt;=1,"never",C8-LN(1-(C9/B9)*B28*C6*(1+C6)^(C8-1)/(C15*(1-C5)-C16*C9))/LN(1+C6)))</f>
        <v>never</v>
      </c>
    </row>
    <row r="39" spans="1:22" x14ac:dyDescent="0.3">
      <c r="A39" s="1" t="s">
        <v>338</v>
      </c>
    </row>
    <row r="40" spans="1:22" ht="28" x14ac:dyDescent="0.3">
      <c r="A40" s="8" t="s">
        <v>339</v>
      </c>
      <c r="B40" s="8" t="s">
        <v>340</v>
      </c>
      <c r="C40" s="8" t="s">
        <v>341</v>
      </c>
      <c r="D40" s="8" t="s">
        <v>342</v>
      </c>
      <c r="E40" s="8" t="s">
        <v>343</v>
      </c>
      <c r="F40" s="8" t="s">
        <v>344</v>
      </c>
      <c r="G40" s="8" t="s">
        <v>345</v>
      </c>
      <c r="H40" s="8" t="s">
        <v>346</v>
      </c>
      <c r="I40" s="8" t="s">
        <v>347</v>
      </c>
      <c r="J40" s="8" t="s">
        <v>348</v>
      </c>
      <c r="K40" s="8" t="s">
        <v>349</v>
      </c>
      <c r="L40" s="8" t="s">
        <v>350</v>
      </c>
      <c r="M40" s="8" t="s">
        <v>351</v>
      </c>
      <c r="N40" s="8" t="s">
        <v>352</v>
      </c>
      <c r="O40" s="8" t="s">
        <v>353</v>
      </c>
      <c r="P40" s="8" t="s">
        <v>354</v>
      </c>
      <c r="Q40" s="8" t="s">
        <v>355</v>
      </c>
      <c r="R40" s="8" t="s">
        <v>356</v>
      </c>
      <c r="S40" s="8" t="s">
        <v>357</v>
      </c>
      <c r="U40" s="9" t="s">
        <v>438</v>
      </c>
      <c r="V40" s="9" t="s">
        <v>439</v>
      </c>
    </row>
    <row r="41" spans="1:22" x14ac:dyDescent="0.3">
      <c r="A41" s="2">
        <v>0</v>
      </c>
      <c r="B41" s="5">
        <f t="shared" ref="B41:B63" si="0">1/(1+$B$6)^A41</f>
        <v>1</v>
      </c>
      <c r="C41" s="2">
        <f t="shared" ref="C41:C63" si="1">IF(A41&lt;$B$8,1,0)</f>
        <v>1</v>
      </c>
      <c r="D41" s="2">
        <f t="shared" ref="D41:D63" si="2">IF(AND(A41&gt;=$B$8,A41&lt;$B$8+$B$7),1,0)</f>
        <v>0</v>
      </c>
      <c r="E41" s="6">
        <f t="shared" ref="E41:E63" si="3">C41*$B$9/$B$8</f>
        <v>100</v>
      </c>
      <c r="F41" s="10">
        <f t="shared" ref="F41:F63" si="4">D41*$B$14</f>
        <v>0</v>
      </c>
      <c r="G41" s="6">
        <f>F41*($B$13+$B$19*Inputs!$D$148)/1000</f>
        <v>0</v>
      </c>
      <c r="H41" s="6">
        <f t="shared" ref="H41:H63" si="5">$B$5*G41</f>
        <v>0</v>
      </c>
      <c r="I41" s="6">
        <f t="shared" ref="I41:I63" si="6">D41*$B$16*$B$9</f>
        <v>0</v>
      </c>
      <c r="J41" s="6">
        <f t="shared" ref="J41:J63" si="7">G41-H41-E41-I41</f>
        <v>-100</v>
      </c>
      <c r="K41" s="6">
        <f t="shared" ref="K41:K63" si="8">J41*B41</f>
        <v>-100</v>
      </c>
      <c r="L41" s="6">
        <f t="shared" ref="L41:L63" si="9">IF(AND(A41&gt;=$B$8,A41&lt;$B$8+$B$18),$B$9/$B$18,0)</f>
        <v>0</v>
      </c>
      <c r="M41" s="6">
        <f t="shared" ref="M41:M63" si="10">G41-H41-L41</f>
        <v>0</v>
      </c>
      <c r="N41" s="6">
        <f>SUM($M$41:M41)</f>
        <v>0</v>
      </c>
      <c r="O41" s="6">
        <f t="shared" ref="O41:O63" si="11">$B$17*MAX(0,N41)</f>
        <v>0</v>
      </c>
      <c r="P41" s="6">
        <f>MAX(0,O41)</f>
        <v>0</v>
      </c>
      <c r="Q41" s="6">
        <f t="shared" ref="Q41:Q63" si="12">J41-P41</f>
        <v>-100</v>
      </c>
      <c r="R41" s="6">
        <f t="shared" ref="R41:R63" si="13">Q41*B41</f>
        <v>-100</v>
      </c>
      <c r="S41" s="6">
        <f>SUM($Q$41:Q41)</f>
        <v>-100</v>
      </c>
      <c r="U41" s="6">
        <f t="shared" ref="U41:U63" si="14">IF(J41&lt;0,-J41,NA())</f>
        <v>100</v>
      </c>
      <c r="V41" s="6" t="e">
        <f t="shared" ref="V41:V63" si="15">IF(J41&gt;0,J41,NA())</f>
        <v>#N/A</v>
      </c>
    </row>
    <row r="42" spans="1:22" x14ac:dyDescent="0.3">
      <c r="A42" s="2">
        <v>1</v>
      </c>
      <c r="B42" s="5">
        <f t="shared" si="0"/>
        <v>0.92592592592592582</v>
      </c>
      <c r="C42" s="2">
        <f t="shared" si="1"/>
        <v>1</v>
      </c>
      <c r="D42" s="2">
        <f t="shared" si="2"/>
        <v>0</v>
      </c>
      <c r="E42" s="6">
        <f t="shared" si="3"/>
        <v>100</v>
      </c>
      <c r="F42" s="10">
        <f t="shared" si="4"/>
        <v>0</v>
      </c>
      <c r="G42" s="6">
        <f>F42*($B$13+$B$19*Inputs!$D$148)/1000</f>
        <v>0</v>
      </c>
      <c r="H42" s="6">
        <f t="shared" si="5"/>
        <v>0</v>
      </c>
      <c r="I42" s="6">
        <f t="shared" si="6"/>
        <v>0</v>
      </c>
      <c r="J42" s="6">
        <f t="shared" si="7"/>
        <v>-100</v>
      </c>
      <c r="K42" s="6">
        <f t="shared" si="8"/>
        <v>-92.592592592592581</v>
      </c>
      <c r="L42" s="6">
        <f t="shared" si="9"/>
        <v>0</v>
      </c>
      <c r="M42" s="6">
        <f t="shared" si="10"/>
        <v>0</v>
      </c>
      <c r="N42" s="6">
        <f>SUM($M$41:M42)</f>
        <v>0</v>
      </c>
      <c r="O42" s="6">
        <f t="shared" si="11"/>
        <v>0</v>
      </c>
      <c r="P42" s="6">
        <f t="shared" ref="P42:P63" si="16">MAX(0,O42-O41)</f>
        <v>0</v>
      </c>
      <c r="Q42" s="6">
        <f t="shared" si="12"/>
        <v>-100</v>
      </c>
      <c r="R42" s="6">
        <f t="shared" si="13"/>
        <v>-92.592592592592581</v>
      </c>
      <c r="S42" s="6">
        <f>SUM($Q$41:Q42)</f>
        <v>-200</v>
      </c>
      <c r="U42" s="6">
        <f t="shared" si="14"/>
        <v>100</v>
      </c>
      <c r="V42" s="6" t="e">
        <f t="shared" si="15"/>
        <v>#N/A</v>
      </c>
    </row>
    <row r="43" spans="1:22" x14ac:dyDescent="0.3">
      <c r="A43" s="2">
        <v>2</v>
      </c>
      <c r="B43" s="5">
        <f t="shared" si="0"/>
        <v>0.85733882030178321</v>
      </c>
      <c r="C43" s="2">
        <f t="shared" si="1"/>
        <v>0</v>
      </c>
      <c r="D43" s="2">
        <f t="shared" si="2"/>
        <v>1</v>
      </c>
      <c r="E43" s="6">
        <f t="shared" si="3"/>
        <v>0</v>
      </c>
      <c r="F43" s="10">
        <f t="shared" si="4"/>
        <v>4.9250000000000007</v>
      </c>
      <c r="G43" s="6">
        <f>F43*($B$13+$B$19*Inputs!$D$148)/1000</f>
        <v>23.339575000000004</v>
      </c>
      <c r="H43" s="6">
        <f t="shared" si="5"/>
        <v>17.999982789855075</v>
      </c>
      <c r="I43" s="6">
        <f t="shared" si="6"/>
        <v>0</v>
      </c>
      <c r="J43" s="6">
        <f t="shared" si="7"/>
        <v>5.3395922101449287</v>
      </c>
      <c r="K43" s="6">
        <f t="shared" si="8"/>
        <v>4.5778396863382449</v>
      </c>
      <c r="L43" s="6">
        <f t="shared" si="9"/>
        <v>10</v>
      </c>
      <c r="M43" s="6">
        <f t="shared" si="10"/>
        <v>-4.6604077898550713</v>
      </c>
      <c r="N43" s="6">
        <f>SUM($M$41:M43)</f>
        <v>-4.6604077898550713</v>
      </c>
      <c r="O43" s="6">
        <f t="shared" si="11"/>
        <v>0</v>
      </c>
      <c r="P43" s="6">
        <f t="shared" si="16"/>
        <v>0</v>
      </c>
      <c r="Q43" s="6">
        <f t="shared" si="12"/>
        <v>5.3395922101449287</v>
      </c>
      <c r="R43" s="6">
        <f t="shared" si="13"/>
        <v>4.5778396863382449</v>
      </c>
      <c r="S43" s="6">
        <f>SUM($Q$41:Q43)</f>
        <v>-194.66040778985507</v>
      </c>
      <c r="U43" s="6" t="e">
        <f t="shared" si="14"/>
        <v>#N/A</v>
      </c>
      <c r="V43" s="6">
        <f t="shared" si="15"/>
        <v>5.3395922101449287</v>
      </c>
    </row>
    <row r="44" spans="1:22" x14ac:dyDescent="0.3">
      <c r="A44" s="2">
        <v>3</v>
      </c>
      <c r="B44" s="5">
        <f t="shared" si="0"/>
        <v>0.79383224102016958</v>
      </c>
      <c r="C44" s="2">
        <f t="shared" si="1"/>
        <v>0</v>
      </c>
      <c r="D44" s="2">
        <f t="shared" si="2"/>
        <v>1</v>
      </c>
      <c r="E44" s="6">
        <f t="shared" si="3"/>
        <v>0</v>
      </c>
      <c r="F44" s="10">
        <f t="shared" si="4"/>
        <v>4.9250000000000007</v>
      </c>
      <c r="G44" s="6">
        <f>F44*($B$13+$B$19*Inputs!$D$148)/1000</f>
        <v>23.339575000000004</v>
      </c>
      <c r="H44" s="6">
        <f t="shared" si="5"/>
        <v>17.999982789855075</v>
      </c>
      <c r="I44" s="6">
        <f t="shared" si="6"/>
        <v>0</v>
      </c>
      <c r="J44" s="6">
        <f t="shared" si="7"/>
        <v>5.3395922101449287</v>
      </c>
      <c r="K44" s="6">
        <f t="shared" si="8"/>
        <v>4.2387404503131894</v>
      </c>
      <c r="L44" s="6">
        <f t="shared" si="9"/>
        <v>10</v>
      </c>
      <c r="M44" s="6">
        <f t="shared" si="10"/>
        <v>-4.6604077898550713</v>
      </c>
      <c r="N44" s="6">
        <f>SUM($M$41:M44)</f>
        <v>-9.3208155797101426</v>
      </c>
      <c r="O44" s="6">
        <f t="shared" si="11"/>
        <v>0</v>
      </c>
      <c r="P44" s="6">
        <f t="shared" si="16"/>
        <v>0</v>
      </c>
      <c r="Q44" s="6">
        <f t="shared" si="12"/>
        <v>5.3395922101449287</v>
      </c>
      <c r="R44" s="6">
        <f t="shared" si="13"/>
        <v>4.2387404503131894</v>
      </c>
      <c r="S44" s="6">
        <f>SUM($Q$41:Q44)</f>
        <v>-189.32081557971014</v>
      </c>
      <c r="U44" s="6" t="e">
        <f t="shared" si="14"/>
        <v>#N/A</v>
      </c>
      <c r="V44" s="6">
        <f t="shared" si="15"/>
        <v>5.3395922101449287</v>
      </c>
    </row>
    <row r="45" spans="1:22" x14ac:dyDescent="0.3">
      <c r="A45" s="2">
        <v>4</v>
      </c>
      <c r="B45" s="5">
        <f t="shared" si="0"/>
        <v>0.73502985279645328</v>
      </c>
      <c r="C45" s="2">
        <f t="shared" si="1"/>
        <v>0</v>
      </c>
      <c r="D45" s="2">
        <f t="shared" si="2"/>
        <v>1</v>
      </c>
      <c r="E45" s="6">
        <f t="shared" si="3"/>
        <v>0</v>
      </c>
      <c r="F45" s="10">
        <f t="shared" si="4"/>
        <v>4.9250000000000007</v>
      </c>
      <c r="G45" s="6">
        <f>F45*($B$13+$B$19*Inputs!$D$148)/1000</f>
        <v>23.339575000000004</v>
      </c>
      <c r="H45" s="6">
        <f t="shared" si="5"/>
        <v>17.999982789855075</v>
      </c>
      <c r="I45" s="6">
        <f t="shared" si="6"/>
        <v>0</v>
      </c>
      <c r="J45" s="6">
        <f t="shared" si="7"/>
        <v>5.3395922101449287</v>
      </c>
      <c r="K45" s="6">
        <f t="shared" si="8"/>
        <v>3.9247596762159156</v>
      </c>
      <c r="L45" s="6">
        <f t="shared" si="9"/>
        <v>10</v>
      </c>
      <c r="M45" s="6">
        <f t="shared" si="10"/>
        <v>-4.6604077898550713</v>
      </c>
      <c r="N45" s="6">
        <f>SUM($M$41:M45)</f>
        <v>-13.981223369565214</v>
      </c>
      <c r="O45" s="6">
        <f t="shared" si="11"/>
        <v>0</v>
      </c>
      <c r="P45" s="6">
        <f t="shared" si="16"/>
        <v>0</v>
      </c>
      <c r="Q45" s="6">
        <f t="shared" si="12"/>
        <v>5.3395922101449287</v>
      </c>
      <c r="R45" s="6">
        <f t="shared" si="13"/>
        <v>3.9247596762159156</v>
      </c>
      <c r="S45" s="6">
        <f>SUM($Q$41:Q45)</f>
        <v>-183.98122336956521</v>
      </c>
      <c r="U45" s="6" t="e">
        <f t="shared" si="14"/>
        <v>#N/A</v>
      </c>
      <c r="V45" s="6">
        <f t="shared" si="15"/>
        <v>5.3395922101449287</v>
      </c>
    </row>
    <row r="46" spans="1:22" x14ac:dyDescent="0.3">
      <c r="A46" s="2">
        <v>5</v>
      </c>
      <c r="B46" s="5">
        <f t="shared" si="0"/>
        <v>0.68058319703375303</v>
      </c>
      <c r="C46" s="2">
        <f t="shared" si="1"/>
        <v>0</v>
      </c>
      <c r="D46" s="2">
        <f t="shared" si="2"/>
        <v>1</v>
      </c>
      <c r="E46" s="6">
        <f t="shared" si="3"/>
        <v>0</v>
      </c>
      <c r="F46" s="10">
        <f t="shared" si="4"/>
        <v>4.9250000000000007</v>
      </c>
      <c r="G46" s="6">
        <f>F46*($B$13+$B$19*Inputs!$D$148)/1000</f>
        <v>23.339575000000004</v>
      </c>
      <c r="H46" s="6">
        <f t="shared" si="5"/>
        <v>17.999982789855075</v>
      </c>
      <c r="I46" s="6">
        <f t="shared" si="6"/>
        <v>0</v>
      </c>
      <c r="J46" s="6">
        <f t="shared" si="7"/>
        <v>5.3395922101449287</v>
      </c>
      <c r="K46" s="6">
        <f t="shared" si="8"/>
        <v>3.6340367372369586</v>
      </c>
      <c r="L46" s="6">
        <f t="shared" si="9"/>
        <v>10</v>
      </c>
      <c r="M46" s="6">
        <f t="shared" si="10"/>
        <v>-4.6604077898550713</v>
      </c>
      <c r="N46" s="6">
        <f>SUM($M$41:M46)</f>
        <v>-18.641631159420285</v>
      </c>
      <c r="O46" s="6">
        <f t="shared" si="11"/>
        <v>0</v>
      </c>
      <c r="P46" s="6">
        <f t="shared" si="16"/>
        <v>0</v>
      </c>
      <c r="Q46" s="6">
        <f t="shared" si="12"/>
        <v>5.3395922101449287</v>
      </c>
      <c r="R46" s="6">
        <f t="shared" si="13"/>
        <v>3.6340367372369586</v>
      </c>
      <c r="S46" s="6">
        <f>SUM($Q$41:Q46)</f>
        <v>-178.64163115942029</v>
      </c>
      <c r="U46" s="6" t="e">
        <f t="shared" si="14"/>
        <v>#N/A</v>
      </c>
      <c r="V46" s="6">
        <f t="shared" si="15"/>
        <v>5.3395922101449287</v>
      </c>
    </row>
    <row r="47" spans="1:22" x14ac:dyDescent="0.3">
      <c r="A47" s="2">
        <v>6</v>
      </c>
      <c r="B47" s="5">
        <f t="shared" si="0"/>
        <v>0.63016962688310452</v>
      </c>
      <c r="C47" s="2">
        <f t="shared" si="1"/>
        <v>0</v>
      </c>
      <c r="D47" s="2">
        <f t="shared" si="2"/>
        <v>1</v>
      </c>
      <c r="E47" s="6">
        <f t="shared" si="3"/>
        <v>0</v>
      </c>
      <c r="F47" s="10">
        <f t="shared" si="4"/>
        <v>4.9250000000000007</v>
      </c>
      <c r="G47" s="6">
        <f>F47*($B$13+$B$19*Inputs!$D$148)/1000</f>
        <v>23.339575000000004</v>
      </c>
      <c r="H47" s="6">
        <f t="shared" si="5"/>
        <v>17.999982789855075</v>
      </c>
      <c r="I47" s="6">
        <f t="shared" si="6"/>
        <v>0</v>
      </c>
      <c r="J47" s="6">
        <f t="shared" si="7"/>
        <v>5.3395922101449287</v>
      </c>
      <c r="K47" s="6">
        <f t="shared" si="8"/>
        <v>3.3648488307749611</v>
      </c>
      <c r="L47" s="6">
        <f t="shared" si="9"/>
        <v>10</v>
      </c>
      <c r="M47" s="6">
        <f t="shared" si="10"/>
        <v>-4.6604077898550713</v>
      </c>
      <c r="N47" s="6">
        <f>SUM($M$41:M47)</f>
        <v>-23.302038949275357</v>
      </c>
      <c r="O47" s="6">
        <f t="shared" si="11"/>
        <v>0</v>
      </c>
      <c r="P47" s="6">
        <f t="shared" si="16"/>
        <v>0</v>
      </c>
      <c r="Q47" s="6">
        <f t="shared" si="12"/>
        <v>5.3395922101449287</v>
      </c>
      <c r="R47" s="6">
        <f t="shared" si="13"/>
        <v>3.3648488307749611</v>
      </c>
      <c r="S47" s="6">
        <f>SUM($Q$41:Q47)</f>
        <v>-173.30203894927536</v>
      </c>
      <c r="U47" s="6" t="e">
        <f t="shared" si="14"/>
        <v>#N/A</v>
      </c>
      <c r="V47" s="6">
        <f t="shared" si="15"/>
        <v>5.3395922101449287</v>
      </c>
    </row>
    <row r="48" spans="1:22" x14ac:dyDescent="0.3">
      <c r="A48" s="2">
        <v>7</v>
      </c>
      <c r="B48" s="5">
        <f t="shared" si="0"/>
        <v>0.58349039526213387</v>
      </c>
      <c r="C48" s="2">
        <f t="shared" si="1"/>
        <v>0</v>
      </c>
      <c r="D48" s="2">
        <f t="shared" si="2"/>
        <v>1</v>
      </c>
      <c r="E48" s="6">
        <f t="shared" si="3"/>
        <v>0</v>
      </c>
      <c r="F48" s="10">
        <f t="shared" si="4"/>
        <v>4.9250000000000007</v>
      </c>
      <c r="G48" s="6">
        <f>F48*($B$13+$B$19*Inputs!$D$148)/1000</f>
        <v>23.339575000000004</v>
      </c>
      <c r="H48" s="6">
        <f t="shared" si="5"/>
        <v>17.999982789855075</v>
      </c>
      <c r="I48" s="6">
        <f t="shared" si="6"/>
        <v>0</v>
      </c>
      <c r="J48" s="6">
        <f t="shared" si="7"/>
        <v>5.3395922101449287</v>
      </c>
      <c r="K48" s="6">
        <f t="shared" si="8"/>
        <v>3.1156007692360754</v>
      </c>
      <c r="L48" s="6">
        <f t="shared" si="9"/>
        <v>10</v>
      </c>
      <c r="M48" s="6">
        <f t="shared" si="10"/>
        <v>-4.6604077898550713</v>
      </c>
      <c r="N48" s="6">
        <f>SUM($M$41:M48)</f>
        <v>-27.962446739130428</v>
      </c>
      <c r="O48" s="6">
        <f t="shared" si="11"/>
        <v>0</v>
      </c>
      <c r="P48" s="6">
        <f t="shared" si="16"/>
        <v>0</v>
      </c>
      <c r="Q48" s="6">
        <f t="shared" si="12"/>
        <v>5.3395922101449287</v>
      </c>
      <c r="R48" s="6">
        <f t="shared" si="13"/>
        <v>3.1156007692360754</v>
      </c>
      <c r="S48" s="6">
        <f>SUM($Q$41:Q48)</f>
        <v>-167.96244673913043</v>
      </c>
      <c r="U48" s="6" t="e">
        <f t="shared" si="14"/>
        <v>#N/A</v>
      </c>
      <c r="V48" s="6">
        <f t="shared" si="15"/>
        <v>5.3395922101449287</v>
      </c>
    </row>
    <row r="49" spans="1:22" x14ac:dyDescent="0.3">
      <c r="A49" s="2">
        <v>8</v>
      </c>
      <c r="B49" s="5">
        <f t="shared" si="0"/>
        <v>0.54026888450197574</v>
      </c>
      <c r="C49" s="2">
        <f t="shared" si="1"/>
        <v>0</v>
      </c>
      <c r="D49" s="2">
        <f t="shared" si="2"/>
        <v>1</v>
      </c>
      <c r="E49" s="6">
        <f t="shared" si="3"/>
        <v>0</v>
      </c>
      <c r="F49" s="10">
        <f t="shared" si="4"/>
        <v>4.9250000000000007</v>
      </c>
      <c r="G49" s="6">
        <f>F49*($B$13+$B$19*Inputs!$D$148)/1000</f>
        <v>23.339575000000004</v>
      </c>
      <c r="H49" s="6">
        <f t="shared" si="5"/>
        <v>17.999982789855075</v>
      </c>
      <c r="I49" s="6">
        <f t="shared" si="6"/>
        <v>0</v>
      </c>
      <c r="J49" s="6">
        <f t="shared" si="7"/>
        <v>5.3395922101449287</v>
      </c>
      <c r="K49" s="6">
        <f t="shared" si="8"/>
        <v>2.8848155270704399</v>
      </c>
      <c r="L49" s="6">
        <f t="shared" si="9"/>
        <v>10</v>
      </c>
      <c r="M49" s="6">
        <f t="shared" si="10"/>
        <v>-4.6604077898550713</v>
      </c>
      <c r="N49" s="6">
        <f>SUM($M$41:M49)</f>
        <v>-32.622854528985499</v>
      </c>
      <c r="O49" s="6">
        <f t="shared" si="11"/>
        <v>0</v>
      </c>
      <c r="P49" s="6">
        <f t="shared" si="16"/>
        <v>0</v>
      </c>
      <c r="Q49" s="6">
        <f t="shared" si="12"/>
        <v>5.3395922101449287</v>
      </c>
      <c r="R49" s="6">
        <f t="shared" si="13"/>
        <v>2.8848155270704399</v>
      </c>
      <c r="S49" s="6">
        <f>SUM($Q$41:Q49)</f>
        <v>-162.6228545289855</v>
      </c>
      <c r="U49" s="6" t="e">
        <f t="shared" si="14"/>
        <v>#N/A</v>
      </c>
      <c r="V49" s="6">
        <f t="shared" si="15"/>
        <v>5.3395922101449287</v>
      </c>
    </row>
    <row r="50" spans="1:22" x14ac:dyDescent="0.3">
      <c r="A50" s="2">
        <v>9</v>
      </c>
      <c r="B50" s="5">
        <f t="shared" si="0"/>
        <v>0.50024896713145905</v>
      </c>
      <c r="C50" s="2">
        <f t="shared" si="1"/>
        <v>0</v>
      </c>
      <c r="D50" s="2">
        <f t="shared" si="2"/>
        <v>1</v>
      </c>
      <c r="E50" s="6">
        <f t="shared" si="3"/>
        <v>0</v>
      </c>
      <c r="F50" s="10">
        <f t="shared" si="4"/>
        <v>4.9250000000000007</v>
      </c>
      <c r="G50" s="6">
        <f>F50*($B$13+$B$19*Inputs!$D$148)/1000</f>
        <v>23.339575000000004</v>
      </c>
      <c r="H50" s="6">
        <f t="shared" si="5"/>
        <v>17.999982789855075</v>
      </c>
      <c r="I50" s="6">
        <f t="shared" si="6"/>
        <v>0</v>
      </c>
      <c r="J50" s="6">
        <f t="shared" si="7"/>
        <v>5.3395922101449287</v>
      </c>
      <c r="K50" s="6">
        <f t="shared" si="8"/>
        <v>2.6711254880281854</v>
      </c>
      <c r="L50" s="6">
        <f t="shared" si="9"/>
        <v>10</v>
      </c>
      <c r="M50" s="6">
        <f t="shared" si="10"/>
        <v>-4.6604077898550713</v>
      </c>
      <c r="N50" s="6">
        <f>SUM($M$41:M50)</f>
        <v>-37.283262318840571</v>
      </c>
      <c r="O50" s="6">
        <f t="shared" si="11"/>
        <v>0</v>
      </c>
      <c r="P50" s="6">
        <f t="shared" si="16"/>
        <v>0</v>
      </c>
      <c r="Q50" s="6">
        <f t="shared" si="12"/>
        <v>5.3395922101449287</v>
      </c>
      <c r="R50" s="6">
        <f t="shared" si="13"/>
        <v>2.6711254880281854</v>
      </c>
      <c r="S50" s="6">
        <f>SUM($Q$41:Q50)</f>
        <v>-157.28326231884057</v>
      </c>
      <c r="U50" s="6" t="e">
        <f t="shared" si="14"/>
        <v>#N/A</v>
      </c>
      <c r="V50" s="6">
        <f t="shared" si="15"/>
        <v>5.3395922101449287</v>
      </c>
    </row>
    <row r="51" spans="1:22" x14ac:dyDescent="0.3">
      <c r="A51" s="2">
        <v>10</v>
      </c>
      <c r="B51" s="5">
        <f t="shared" si="0"/>
        <v>0.46319348808468425</v>
      </c>
      <c r="C51" s="2">
        <f t="shared" si="1"/>
        <v>0</v>
      </c>
      <c r="D51" s="2">
        <f t="shared" si="2"/>
        <v>1</v>
      </c>
      <c r="E51" s="6">
        <f t="shared" si="3"/>
        <v>0</v>
      </c>
      <c r="F51" s="10">
        <f t="shared" si="4"/>
        <v>4.9250000000000007</v>
      </c>
      <c r="G51" s="6">
        <f>F51*($B$13+$B$19*Inputs!$D$148)/1000</f>
        <v>23.339575000000004</v>
      </c>
      <c r="H51" s="6">
        <f t="shared" si="5"/>
        <v>17.999982789855075</v>
      </c>
      <c r="I51" s="6">
        <f t="shared" si="6"/>
        <v>0</v>
      </c>
      <c r="J51" s="6">
        <f t="shared" si="7"/>
        <v>5.3395922101449287</v>
      </c>
      <c r="K51" s="6">
        <f t="shared" si="8"/>
        <v>2.4732643407668378</v>
      </c>
      <c r="L51" s="6">
        <f t="shared" si="9"/>
        <v>10</v>
      </c>
      <c r="M51" s="6">
        <f t="shared" si="10"/>
        <v>-4.6604077898550713</v>
      </c>
      <c r="N51" s="6">
        <f>SUM($M$41:M51)</f>
        <v>-41.943670108695642</v>
      </c>
      <c r="O51" s="6">
        <f t="shared" si="11"/>
        <v>0</v>
      </c>
      <c r="P51" s="6">
        <f t="shared" si="16"/>
        <v>0</v>
      </c>
      <c r="Q51" s="6">
        <f t="shared" si="12"/>
        <v>5.3395922101449287</v>
      </c>
      <c r="R51" s="6">
        <f t="shared" si="13"/>
        <v>2.4732643407668378</v>
      </c>
      <c r="S51" s="6">
        <f>SUM($Q$41:Q51)</f>
        <v>-151.94367010869564</v>
      </c>
      <c r="U51" s="6" t="e">
        <f t="shared" si="14"/>
        <v>#N/A</v>
      </c>
      <c r="V51" s="6">
        <f t="shared" si="15"/>
        <v>5.3395922101449287</v>
      </c>
    </row>
    <row r="52" spans="1:22" x14ac:dyDescent="0.3">
      <c r="A52" s="2">
        <v>11</v>
      </c>
      <c r="B52" s="5">
        <f t="shared" si="0"/>
        <v>0.42888285933767062</v>
      </c>
      <c r="C52" s="2">
        <f t="shared" si="1"/>
        <v>0</v>
      </c>
      <c r="D52" s="2">
        <f t="shared" si="2"/>
        <v>1</v>
      </c>
      <c r="E52" s="6">
        <f t="shared" si="3"/>
        <v>0</v>
      </c>
      <c r="F52" s="10">
        <f t="shared" si="4"/>
        <v>4.9250000000000007</v>
      </c>
      <c r="G52" s="6">
        <f>F52*($B$13+$B$19*Inputs!$D$148)/1000</f>
        <v>23.339575000000004</v>
      </c>
      <c r="H52" s="6">
        <f t="shared" si="5"/>
        <v>17.999982789855075</v>
      </c>
      <c r="I52" s="6">
        <f t="shared" si="6"/>
        <v>0</v>
      </c>
      <c r="J52" s="6">
        <f t="shared" si="7"/>
        <v>5.3395922101449287</v>
      </c>
      <c r="K52" s="6">
        <f t="shared" si="8"/>
        <v>2.290059574784109</v>
      </c>
      <c r="L52" s="6">
        <f t="shared" si="9"/>
        <v>10</v>
      </c>
      <c r="M52" s="6">
        <f t="shared" si="10"/>
        <v>-4.6604077898550713</v>
      </c>
      <c r="N52" s="6">
        <f>SUM($M$41:M52)</f>
        <v>-46.604077898550713</v>
      </c>
      <c r="O52" s="6">
        <f t="shared" si="11"/>
        <v>0</v>
      </c>
      <c r="P52" s="6">
        <f t="shared" si="16"/>
        <v>0</v>
      </c>
      <c r="Q52" s="6">
        <f t="shared" si="12"/>
        <v>5.3395922101449287</v>
      </c>
      <c r="R52" s="6">
        <f t="shared" si="13"/>
        <v>2.290059574784109</v>
      </c>
      <c r="S52" s="6">
        <f>SUM($Q$41:Q52)</f>
        <v>-146.60407789855071</v>
      </c>
      <c r="U52" s="6" t="e">
        <f t="shared" si="14"/>
        <v>#N/A</v>
      </c>
      <c r="V52" s="6">
        <f t="shared" si="15"/>
        <v>5.3395922101449287</v>
      </c>
    </row>
    <row r="53" spans="1:22" x14ac:dyDescent="0.3">
      <c r="A53" s="2">
        <v>12</v>
      </c>
      <c r="B53" s="5">
        <f t="shared" si="0"/>
        <v>0.39711375864599124</v>
      </c>
      <c r="C53" s="2">
        <f t="shared" si="1"/>
        <v>0</v>
      </c>
      <c r="D53" s="2">
        <f t="shared" si="2"/>
        <v>1</v>
      </c>
      <c r="E53" s="6">
        <f t="shared" si="3"/>
        <v>0</v>
      </c>
      <c r="F53" s="10">
        <f t="shared" si="4"/>
        <v>4.9250000000000007</v>
      </c>
      <c r="G53" s="6">
        <f>F53*($B$13+$B$19*Inputs!$D$148)/1000</f>
        <v>23.339575000000004</v>
      </c>
      <c r="H53" s="6">
        <f t="shared" si="5"/>
        <v>17.999982789855075</v>
      </c>
      <c r="I53" s="6">
        <f t="shared" si="6"/>
        <v>0</v>
      </c>
      <c r="J53" s="6">
        <f t="shared" si="7"/>
        <v>5.3395922101449287</v>
      </c>
      <c r="K53" s="6">
        <f t="shared" si="8"/>
        <v>2.1204255322075083</v>
      </c>
      <c r="L53" s="6">
        <f t="shared" si="9"/>
        <v>10</v>
      </c>
      <c r="M53" s="6">
        <f t="shared" si="10"/>
        <v>-4.6604077898550713</v>
      </c>
      <c r="N53" s="6">
        <f>SUM($M$41:M53)</f>
        <v>-51.264485688405784</v>
      </c>
      <c r="O53" s="6">
        <f t="shared" si="11"/>
        <v>0</v>
      </c>
      <c r="P53" s="6">
        <f t="shared" si="16"/>
        <v>0</v>
      </c>
      <c r="Q53" s="6">
        <f t="shared" si="12"/>
        <v>5.3395922101449287</v>
      </c>
      <c r="R53" s="6">
        <f t="shared" si="13"/>
        <v>2.1204255322075083</v>
      </c>
      <c r="S53" s="6">
        <f>SUM($Q$41:Q53)</f>
        <v>-141.26448568840578</v>
      </c>
      <c r="U53" s="6" t="e">
        <f t="shared" si="14"/>
        <v>#N/A</v>
      </c>
      <c r="V53" s="6">
        <f t="shared" si="15"/>
        <v>5.3395922101449287</v>
      </c>
    </row>
    <row r="54" spans="1:22" x14ac:dyDescent="0.3">
      <c r="A54" s="2">
        <v>13</v>
      </c>
      <c r="B54" s="5">
        <f t="shared" si="0"/>
        <v>0.36769792467221413</v>
      </c>
      <c r="C54" s="2">
        <f t="shared" si="1"/>
        <v>0</v>
      </c>
      <c r="D54" s="2">
        <f t="shared" si="2"/>
        <v>1</v>
      </c>
      <c r="E54" s="6">
        <f t="shared" si="3"/>
        <v>0</v>
      </c>
      <c r="F54" s="10">
        <f t="shared" si="4"/>
        <v>4.9250000000000007</v>
      </c>
      <c r="G54" s="6">
        <f>F54*($B$13+$B$19*Inputs!$D$148)/1000</f>
        <v>23.339575000000004</v>
      </c>
      <c r="H54" s="6">
        <f t="shared" si="5"/>
        <v>17.999982789855075</v>
      </c>
      <c r="I54" s="6">
        <f t="shared" si="6"/>
        <v>0</v>
      </c>
      <c r="J54" s="6">
        <f t="shared" si="7"/>
        <v>5.3395922101449287</v>
      </c>
      <c r="K54" s="6">
        <f t="shared" si="8"/>
        <v>1.9633569742662114</v>
      </c>
      <c r="L54" s="6">
        <f t="shared" si="9"/>
        <v>10</v>
      </c>
      <c r="M54" s="6">
        <f t="shared" si="10"/>
        <v>-4.6604077898550713</v>
      </c>
      <c r="N54" s="6">
        <f>SUM($M$41:M54)</f>
        <v>-55.924893478260856</v>
      </c>
      <c r="O54" s="6">
        <f t="shared" si="11"/>
        <v>0</v>
      </c>
      <c r="P54" s="6">
        <f t="shared" si="16"/>
        <v>0</v>
      </c>
      <c r="Q54" s="6">
        <f t="shared" si="12"/>
        <v>5.3395922101449287</v>
      </c>
      <c r="R54" s="6">
        <f t="shared" si="13"/>
        <v>1.9633569742662114</v>
      </c>
      <c r="S54" s="6">
        <f>SUM($Q$41:Q54)</f>
        <v>-135.92489347826086</v>
      </c>
      <c r="U54" s="6" t="e">
        <f t="shared" si="14"/>
        <v>#N/A</v>
      </c>
      <c r="V54" s="6">
        <f t="shared" si="15"/>
        <v>5.3395922101449287</v>
      </c>
    </row>
    <row r="55" spans="1:22" x14ac:dyDescent="0.3">
      <c r="A55" s="2">
        <v>14</v>
      </c>
      <c r="B55" s="5">
        <f t="shared" si="0"/>
        <v>0.34046104136316119</v>
      </c>
      <c r="C55" s="2">
        <f t="shared" si="1"/>
        <v>0</v>
      </c>
      <c r="D55" s="2">
        <f t="shared" si="2"/>
        <v>1</v>
      </c>
      <c r="E55" s="6">
        <f t="shared" si="3"/>
        <v>0</v>
      </c>
      <c r="F55" s="10">
        <f t="shared" si="4"/>
        <v>4.9250000000000007</v>
      </c>
      <c r="G55" s="6">
        <f>F55*($B$13+$B$19*Inputs!$D$148)/1000</f>
        <v>23.339575000000004</v>
      </c>
      <c r="H55" s="6">
        <f t="shared" si="5"/>
        <v>17.999982789855075</v>
      </c>
      <c r="I55" s="6">
        <f t="shared" si="6"/>
        <v>0</v>
      </c>
      <c r="J55" s="6">
        <f t="shared" si="7"/>
        <v>5.3395922101449287</v>
      </c>
      <c r="K55" s="6">
        <f t="shared" si="8"/>
        <v>1.8179231243205658</v>
      </c>
      <c r="L55" s="6">
        <f t="shared" si="9"/>
        <v>10</v>
      </c>
      <c r="M55" s="6">
        <f t="shared" si="10"/>
        <v>-4.6604077898550713</v>
      </c>
      <c r="N55" s="6">
        <f>SUM($M$41:M55)</f>
        <v>-60.585301268115927</v>
      </c>
      <c r="O55" s="6">
        <f t="shared" si="11"/>
        <v>0</v>
      </c>
      <c r="P55" s="6">
        <f t="shared" si="16"/>
        <v>0</v>
      </c>
      <c r="Q55" s="6">
        <f t="shared" si="12"/>
        <v>5.3395922101449287</v>
      </c>
      <c r="R55" s="6">
        <f t="shared" si="13"/>
        <v>1.8179231243205658</v>
      </c>
      <c r="S55" s="6">
        <f>SUM($Q$41:Q55)</f>
        <v>-130.58530126811593</v>
      </c>
      <c r="U55" s="6" t="e">
        <f t="shared" si="14"/>
        <v>#N/A</v>
      </c>
      <c r="V55" s="6">
        <f t="shared" si="15"/>
        <v>5.3395922101449287</v>
      </c>
    </row>
    <row r="56" spans="1:22" x14ac:dyDescent="0.3">
      <c r="A56" s="2">
        <v>15</v>
      </c>
      <c r="B56" s="5">
        <f t="shared" si="0"/>
        <v>0.31524170496588994</v>
      </c>
      <c r="C56" s="2">
        <f t="shared" si="1"/>
        <v>0</v>
      </c>
      <c r="D56" s="2">
        <f t="shared" si="2"/>
        <v>1</v>
      </c>
      <c r="E56" s="6">
        <f t="shared" si="3"/>
        <v>0</v>
      </c>
      <c r="F56" s="10">
        <f t="shared" si="4"/>
        <v>4.9250000000000007</v>
      </c>
      <c r="G56" s="6">
        <f>F56*($B$13+$B$19*Inputs!$D$148)/1000</f>
        <v>23.339575000000004</v>
      </c>
      <c r="H56" s="6">
        <f t="shared" si="5"/>
        <v>17.999982789855075</v>
      </c>
      <c r="I56" s="6">
        <f t="shared" si="6"/>
        <v>0</v>
      </c>
      <c r="J56" s="6">
        <f t="shared" si="7"/>
        <v>5.3395922101449287</v>
      </c>
      <c r="K56" s="6">
        <f t="shared" si="8"/>
        <v>1.6832621521486717</v>
      </c>
      <c r="L56" s="6">
        <f t="shared" si="9"/>
        <v>10</v>
      </c>
      <c r="M56" s="6">
        <f t="shared" si="10"/>
        <v>-4.6604077898550713</v>
      </c>
      <c r="N56" s="6">
        <f>SUM($M$41:M56)</f>
        <v>-65.245709057970998</v>
      </c>
      <c r="O56" s="6">
        <f t="shared" si="11"/>
        <v>0</v>
      </c>
      <c r="P56" s="6">
        <f t="shared" si="16"/>
        <v>0</v>
      </c>
      <c r="Q56" s="6">
        <f t="shared" si="12"/>
        <v>5.3395922101449287</v>
      </c>
      <c r="R56" s="6">
        <f t="shared" si="13"/>
        <v>1.6832621521486717</v>
      </c>
      <c r="S56" s="6">
        <f>SUM($Q$41:Q56)</f>
        <v>-125.245709057971</v>
      </c>
      <c r="U56" s="6" t="e">
        <f t="shared" si="14"/>
        <v>#N/A</v>
      </c>
      <c r="V56" s="6">
        <f t="shared" si="15"/>
        <v>5.3395922101449287</v>
      </c>
    </row>
    <row r="57" spans="1:22" x14ac:dyDescent="0.3">
      <c r="A57" s="2">
        <v>16</v>
      </c>
      <c r="B57" s="5">
        <f t="shared" si="0"/>
        <v>0.29189046756100923</v>
      </c>
      <c r="C57" s="2">
        <f t="shared" si="1"/>
        <v>0</v>
      </c>
      <c r="D57" s="2">
        <f t="shared" si="2"/>
        <v>1</v>
      </c>
      <c r="E57" s="6">
        <f t="shared" si="3"/>
        <v>0</v>
      </c>
      <c r="F57" s="10">
        <f t="shared" si="4"/>
        <v>4.9250000000000007</v>
      </c>
      <c r="G57" s="6">
        <f>F57*($B$13+$B$19*Inputs!$D$148)/1000</f>
        <v>23.339575000000004</v>
      </c>
      <c r="H57" s="6">
        <f t="shared" si="5"/>
        <v>17.999982789855075</v>
      </c>
      <c r="I57" s="6">
        <f t="shared" si="6"/>
        <v>0</v>
      </c>
      <c r="J57" s="6">
        <f t="shared" si="7"/>
        <v>5.3395922101449287</v>
      </c>
      <c r="K57" s="6">
        <f t="shared" si="8"/>
        <v>1.5585760668043258</v>
      </c>
      <c r="L57" s="6">
        <f t="shared" si="9"/>
        <v>10</v>
      </c>
      <c r="M57" s="6">
        <f t="shared" si="10"/>
        <v>-4.6604077898550713</v>
      </c>
      <c r="N57" s="6">
        <f>SUM($M$41:M57)</f>
        <v>-69.90611684782607</v>
      </c>
      <c r="O57" s="6">
        <f t="shared" si="11"/>
        <v>0</v>
      </c>
      <c r="P57" s="6">
        <f t="shared" si="16"/>
        <v>0</v>
      </c>
      <c r="Q57" s="6">
        <f t="shared" si="12"/>
        <v>5.3395922101449287</v>
      </c>
      <c r="R57" s="6">
        <f t="shared" si="13"/>
        <v>1.5585760668043258</v>
      </c>
      <c r="S57" s="6">
        <f>SUM($Q$41:Q57)</f>
        <v>-119.90611684782607</v>
      </c>
      <c r="U57" s="6" t="e">
        <f t="shared" si="14"/>
        <v>#N/A</v>
      </c>
      <c r="V57" s="6">
        <f t="shared" si="15"/>
        <v>5.3395922101449287</v>
      </c>
    </row>
    <row r="58" spans="1:22" x14ac:dyDescent="0.3">
      <c r="A58" s="2">
        <v>17</v>
      </c>
      <c r="B58" s="5">
        <f t="shared" si="0"/>
        <v>0.27026895144537894</v>
      </c>
      <c r="C58" s="2">
        <f t="shared" si="1"/>
        <v>0</v>
      </c>
      <c r="D58" s="2">
        <f t="shared" si="2"/>
        <v>1</v>
      </c>
      <c r="E58" s="6">
        <f t="shared" si="3"/>
        <v>0</v>
      </c>
      <c r="F58" s="10">
        <f t="shared" si="4"/>
        <v>4.9250000000000007</v>
      </c>
      <c r="G58" s="6">
        <f>F58*($B$13+$B$19*Inputs!$D$148)/1000</f>
        <v>23.339575000000004</v>
      </c>
      <c r="H58" s="6">
        <f t="shared" si="5"/>
        <v>17.999982789855075</v>
      </c>
      <c r="I58" s="6">
        <f t="shared" si="6"/>
        <v>0</v>
      </c>
      <c r="J58" s="6">
        <f t="shared" si="7"/>
        <v>5.3395922101449287</v>
      </c>
      <c r="K58" s="6">
        <f t="shared" si="8"/>
        <v>1.4431259877817832</v>
      </c>
      <c r="L58" s="6">
        <f t="shared" si="9"/>
        <v>10</v>
      </c>
      <c r="M58" s="6">
        <f t="shared" si="10"/>
        <v>-4.6604077898550713</v>
      </c>
      <c r="N58" s="6">
        <f>SUM($M$41:M58)</f>
        <v>-74.566524637681141</v>
      </c>
      <c r="O58" s="6">
        <f t="shared" si="11"/>
        <v>0</v>
      </c>
      <c r="P58" s="6">
        <f t="shared" si="16"/>
        <v>0</v>
      </c>
      <c r="Q58" s="6">
        <f t="shared" si="12"/>
        <v>5.3395922101449287</v>
      </c>
      <c r="R58" s="6">
        <f t="shared" si="13"/>
        <v>1.4431259877817832</v>
      </c>
      <c r="S58" s="6">
        <f>SUM($Q$41:Q58)</f>
        <v>-114.56652463768114</v>
      </c>
      <c r="U58" s="6" t="e">
        <f t="shared" si="14"/>
        <v>#N/A</v>
      </c>
      <c r="V58" s="6">
        <f t="shared" si="15"/>
        <v>5.3395922101449287</v>
      </c>
    </row>
    <row r="59" spans="1:22" x14ac:dyDescent="0.3">
      <c r="A59" s="2">
        <v>18</v>
      </c>
      <c r="B59" s="5">
        <f t="shared" si="0"/>
        <v>0.25024902911609154</v>
      </c>
      <c r="C59" s="2">
        <f t="shared" si="1"/>
        <v>0</v>
      </c>
      <c r="D59" s="2">
        <f t="shared" si="2"/>
        <v>1</v>
      </c>
      <c r="E59" s="6">
        <f t="shared" si="3"/>
        <v>0</v>
      </c>
      <c r="F59" s="10">
        <f t="shared" si="4"/>
        <v>4.9250000000000007</v>
      </c>
      <c r="G59" s="6">
        <f>F59*($B$13+$B$19*Inputs!$D$148)/1000</f>
        <v>23.339575000000004</v>
      </c>
      <c r="H59" s="6">
        <f t="shared" si="5"/>
        <v>17.999982789855075</v>
      </c>
      <c r="I59" s="6">
        <f t="shared" si="6"/>
        <v>0</v>
      </c>
      <c r="J59" s="6">
        <f t="shared" si="7"/>
        <v>5.3395922101449287</v>
      </c>
      <c r="K59" s="6">
        <f t="shared" si="8"/>
        <v>1.3362277664646138</v>
      </c>
      <c r="L59" s="6">
        <f t="shared" si="9"/>
        <v>10</v>
      </c>
      <c r="M59" s="6">
        <f t="shared" si="10"/>
        <v>-4.6604077898550713</v>
      </c>
      <c r="N59" s="6">
        <f>SUM($M$41:M59)</f>
        <v>-79.226932427536212</v>
      </c>
      <c r="O59" s="6">
        <f t="shared" si="11"/>
        <v>0</v>
      </c>
      <c r="P59" s="6">
        <f t="shared" si="16"/>
        <v>0</v>
      </c>
      <c r="Q59" s="6">
        <f t="shared" si="12"/>
        <v>5.3395922101449287</v>
      </c>
      <c r="R59" s="6">
        <f t="shared" si="13"/>
        <v>1.3362277664646138</v>
      </c>
      <c r="S59" s="6">
        <f>SUM($Q$41:Q59)</f>
        <v>-109.22693242753621</v>
      </c>
      <c r="U59" s="6" t="e">
        <f t="shared" si="14"/>
        <v>#N/A</v>
      </c>
      <c r="V59" s="6">
        <f t="shared" si="15"/>
        <v>5.3395922101449287</v>
      </c>
    </row>
    <row r="60" spans="1:22" x14ac:dyDescent="0.3">
      <c r="A60" s="2">
        <v>19</v>
      </c>
      <c r="B60" s="5">
        <f t="shared" si="0"/>
        <v>0.23171206399638106</v>
      </c>
      <c r="C60" s="2">
        <f t="shared" si="1"/>
        <v>0</v>
      </c>
      <c r="D60" s="2">
        <f t="shared" si="2"/>
        <v>1</v>
      </c>
      <c r="E60" s="6">
        <f t="shared" si="3"/>
        <v>0</v>
      </c>
      <c r="F60" s="10">
        <f t="shared" si="4"/>
        <v>4.9250000000000007</v>
      </c>
      <c r="G60" s="6">
        <f>F60*($B$13+$B$19*Inputs!$D$148)/1000</f>
        <v>23.339575000000004</v>
      </c>
      <c r="H60" s="6">
        <f t="shared" si="5"/>
        <v>17.999982789855075</v>
      </c>
      <c r="I60" s="6">
        <f t="shared" si="6"/>
        <v>0</v>
      </c>
      <c r="J60" s="6">
        <f t="shared" si="7"/>
        <v>5.3395922101449287</v>
      </c>
      <c r="K60" s="6">
        <f t="shared" si="8"/>
        <v>1.2372479319116796</v>
      </c>
      <c r="L60" s="6">
        <f t="shared" si="9"/>
        <v>10</v>
      </c>
      <c r="M60" s="6">
        <f t="shared" si="10"/>
        <v>-4.6604077898550713</v>
      </c>
      <c r="N60" s="6">
        <f>SUM($M$41:M60)</f>
        <v>-83.887340217391284</v>
      </c>
      <c r="O60" s="6">
        <f t="shared" si="11"/>
        <v>0</v>
      </c>
      <c r="P60" s="6">
        <f t="shared" si="16"/>
        <v>0</v>
      </c>
      <c r="Q60" s="6">
        <f t="shared" si="12"/>
        <v>5.3395922101449287</v>
      </c>
      <c r="R60" s="6">
        <f t="shared" si="13"/>
        <v>1.2372479319116796</v>
      </c>
      <c r="S60" s="6">
        <f>SUM($Q$41:Q60)</f>
        <v>-103.88734021739128</v>
      </c>
      <c r="U60" s="6" t="e">
        <f t="shared" si="14"/>
        <v>#N/A</v>
      </c>
      <c r="V60" s="6">
        <f t="shared" si="15"/>
        <v>5.3395922101449287</v>
      </c>
    </row>
    <row r="61" spans="1:22" x14ac:dyDescent="0.3">
      <c r="A61" s="2">
        <v>20</v>
      </c>
      <c r="B61" s="5">
        <f t="shared" si="0"/>
        <v>0.21454820740405653</v>
      </c>
      <c r="C61" s="2">
        <f t="shared" si="1"/>
        <v>0</v>
      </c>
      <c r="D61" s="2">
        <f t="shared" si="2"/>
        <v>1</v>
      </c>
      <c r="E61" s="6">
        <f t="shared" si="3"/>
        <v>0</v>
      </c>
      <c r="F61" s="10">
        <f t="shared" si="4"/>
        <v>4.9250000000000007</v>
      </c>
      <c r="G61" s="6">
        <f>F61*($B$13+$B$19*Inputs!$D$148)/1000</f>
        <v>23.339575000000004</v>
      </c>
      <c r="H61" s="6">
        <f t="shared" si="5"/>
        <v>17.999982789855075</v>
      </c>
      <c r="I61" s="6">
        <f t="shared" si="6"/>
        <v>0</v>
      </c>
      <c r="J61" s="6">
        <f t="shared" si="7"/>
        <v>5.3395922101449287</v>
      </c>
      <c r="K61" s="6">
        <f t="shared" si="8"/>
        <v>1.1455999369552587</v>
      </c>
      <c r="L61" s="6">
        <f t="shared" si="9"/>
        <v>10</v>
      </c>
      <c r="M61" s="6">
        <f t="shared" si="10"/>
        <v>-4.6604077898550713</v>
      </c>
      <c r="N61" s="6">
        <f>SUM($M$41:M61)</f>
        <v>-88.547748007246355</v>
      </c>
      <c r="O61" s="6">
        <f t="shared" si="11"/>
        <v>0</v>
      </c>
      <c r="P61" s="6">
        <f t="shared" si="16"/>
        <v>0</v>
      </c>
      <c r="Q61" s="6">
        <f t="shared" si="12"/>
        <v>5.3395922101449287</v>
      </c>
      <c r="R61" s="6">
        <f t="shared" si="13"/>
        <v>1.1455999369552587</v>
      </c>
      <c r="S61" s="6">
        <f>SUM($Q$41:Q61)</f>
        <v>-98.547748007246355</v>
      </c>
      <c r="U61" s="6" t="e">
        <f t="shared" si="14"/>
        <v>#N/A</v>
      </c>
      <c r="V61" s="6">
        <f t="shared" si="15"/>
        <v>5.3395922101449287</v>
      </c>
    </row>
    <row r="62" spans="1:22" x14ac:dyDescent="0.3">
      <c r="A62" s="2">
        <v>21</v>
      </c>
      <c r="B62" s="5">
        <f t="shared" si="0"/>
        <v>0.19865574759634863</v>
      </c>
      <c r="C62" s="2">
        <f t="shared" si="1"/>
        <v>0</v>
      </c>
      <c r="D62" s="2">
        <f t="shared" si="2"/>
        <v>1</v>
      </c>
      <c r="E62" s="6">
        <f t="shared" si="3"/>
        <v>0</v>
      </c>
      <c r="F62" s="10">
        <f t="shared" si="4"/>
        <v>4.9250000000000007</v>
      </c>
      <c r="G62" s="6">
        <f>F62*($B$13+$B$19*Inputs!$D$148)/1000</f>
        <v>23.339575000000004</v>
      </c>
      <c r="H62" s="6">
        <f t="shared" si="5"/>
        <v>17.999982789855075</v>
      </c>
      <c r="I62" s="6">
        <f t="shared" si="6"/>
        <v>0</v>
      </c>
      <c r="J62" s="6">
        <f t="shared" si="7"/>
        <v>5.3395922101449287</v>
      </c>
      <c r="K62" s="6">
        <f t="shared" si="8"/>
        <v>1.0607406823659802</v>
      </c>
      <c r="L62" s="6">
        <f t="shared" si="9"/>
        <v>10</v>
      </c>
      <c r="M62" s="6">
        <f t="shared" si="10"/>
        <v>-4.6604077898550713</v>
      </c>
      <c r="N62" s="6">
        <f>SUM($M$41:M62)</f>
        <v>-93.208155797101426</v>
      </c>
      <c r="O62" s="6">
        <f t="shared" si="11"/>
        <v>0</v>
      </c>
      <c r="P62" s="6">
        <f t="shared" si="16"/>
        <v>0</v>
      </c>
      <c r="Q62" s="6">
        <f t="shared" si="12"/>
        <v>5.3395922101449287</v>
      </c>
      <c r="R62" s="6">
        <f t="shared" si="13"/>
        <v>1.0607406823659802</v>
      </c>
      <c r="S62" s="6">
        <f>SUM($Q$41:Q62)</f>
        <v>-93.208155797101426</v>
      </c>
      <c r="U62" s="6" t="e">
        <f t="shared" si="14"/>
        <v>#N/A</v>
      </c>
      <c r="V62" s="6">
        <f t="shared" si="15"/>
        <v>5.3395922101449287</v>
      </c>
    </row>
    <row r="63" spans="1:22" x14ac:dyDescent="0.3">
      <c r="A63" s="2">
        <v>22</v>
      </c>
      <c r="B63" s="5">
        <f t="shared" si="0"/>
        <v>0.18394050703365611</v>
      </c>
      <c r="C63" s="2">
        <f t="shared" si="1"/>
        <v>0</v>
      </c>
      <c r="D63" s="2">
        <f t="shared" si="2"/>
        <v>0</v>
      </c>
      <c r="E63" s="6">
        <f t="shared" si="3"/>
        <v>0</v>
      </c>
      <c r="F63" s="10">
        <f t="shared" si="4"/>
        <v>0</v>
      </c>
      <c r="G63" s="6">
        <f>F63*($B$13+$B$19*Inputs!$D$148)/1000</f>
        <v>0</v>
      </c>
      <c r="H63" s="6">
        <f t="shared" si="5"/>
        <v>0</v>
      </c>
      <c r="I63" s="6">
        <f t="shared" si="6"/>
        <v>0</v>
      </c>
      <c r="J63" s="6">
        <f t="shared" si="7"/>
        <v>0</v>
      </c>
      <c r="K63" s="6">
        <f t="shared" si="8"/>
        <v>0</v>
      </c>
      <c r="L63" s="6">
        <f t="shared" si="9"/>
        <v>0</v>
      </c>
      <c r="M63" s="6">
        <f t="shared" si="10"/>
        <v>0</v>
      </c>
      <c r="N63" s="6">
        <f>SUM($M$41:M63)</f>
        <v>-93.208155797101426</v>
      </c>
      <c r="O63" s="6">
        <f t="shared" si="11"/>
        <v>0</v>
      </c>
      <c r="P63" s="6">
        <f t="shared" si="16"/>
        <v>0</v>
      </c>
      <c r="Q63" s="6">
        <f t="shared" si="12"/>
        <v>0</v>
      </c>
      <c r="R63" s="6">
        <f t="shared" si="13"/>
        <v>0</v>
      </c>
      <c r="S63" s="6">
        <f>SUM($Q$41:Q63)</f>
        <v>-93.208155797101426</v>
      </c>
      <c r="U63" s="6" t="e">
        <f t="shared" si="14"/>
        <v>#N/A</v>
      </c>
      <c r="V63" s="6" t="e">
        <f t="shared" si="15"/>
        <v>#N/A</v>
      </c>
    </row>
    <row r="66" spans="1:14" x14ac:dyDescent="0.3">
      <c r="A66" s="1" t="s">
        <v>358</v>
      </c>
    </row>
    <row r="67" spans="1:14" ht="28" x14ac:dyDescent="0.3">
      <c r="A67" s="8" t="s">
        <v>359</v>
      </c>
      <c r="B67" s="8" t="s">
        <v>360</v>
      </c>
      <c r="C67" s="8" t="s">
        <v>361</v>
      </c>
      <c r="D67" s="8" t="s">
        <v>362</v>
      </c>
      <c r="E67" s="8" t="s">
        <v>363</v>
      </c>
      <c r="F67" s="8" t="s">
        <v>364</v>
      </c>
      <c r="G67" s="8" t="s">
        <v>365</v>
      </c>
      <c r="H67" s="8" t="s">
        <v>366</v>
      </c>
      <c r="I67" s="8" t="s">
        <v>367</v>
      </c>
      <c r="J67" s="8" t="s">
        <v>368</v>
      </c>
      <c r="K67" s="8" t="s">
        <v>369</v>
      </c>
      <c r="L67" s="8" t="s">
        <v>370</v>
      </c>
      <c r="M67" s="8" t="s">
        <v>371</v>
      </c>
      <c r="N67" s="1" t="s">
        <v>372</v>
      </c>
    </row>
    <row r="68" spans="1:14" x14ac:dyDescent="0.3">
      <c r="A68" s="2" t="s">
        <v>373</v>
      </c>
      <c r="B68" s="2">
        <v>1</v>
      </c>
      <c r="C68" s="2">
        <v>1</v>
      </c>
      <c r="D68" s="2">
        <v>1</v>
      </c>
      <c r="E68" s="2">
        <v>0</v>
      </c>
      <c r="F68" s="5">
        <f t="shared" ref="F68:F94" si="17">SUMPRODUCT($B$41:$B$63*($A$41:$A$63&gt;=$B$8+E68)*($A$41:$A$63&lt;$B$8+E68+$B$7))</f>
        <v>9.0908772291197089</v>
      </c>
      <c r="G68" s="6">
        <f t="shared" ref="G68:G94" si="18">(D68-C68*$B$5)*$B$15*F68-B68*$B$28-I68*B68*$B$9*F68</f>
        <v>-144.05101535660108</v>
      </c>
      <c r="H68" s="6">
        <f t="shared" ref="H68:H94" si="19">(D68-C68*$B$5)*$C$15*F68-B68*($C$9/$B$9)*$B$28-I68*B68*$C$9*F68</f>
        <v>-259.41977774562076</v>
      </c>
      <c r="I68" s="5">
        <f t="shared" ref="I68:I93" si="20">$B$16</f>
        <v>0</v>
      </c>
      <c r="J68" s="6">
        <f t="shared" ref="J68:J94" si="21">D68*$B$15-C68*$B$5*$B$15-B68*$B$9/$B$18</f>
        <v>-4.6604077898550713</v>
      </c>
      <c r="K68" s="6">
        <f t="shared" ref="K68:K94" si="22">IF($B$18&lt;$B$7,"n/a",G68-$B$17*MAX(0,J68)*F68)</f>
        <v>-144.05101535660108</v>
      </c>
      <c r="L68" s="6">
        <f t="shared" ref="L68:L94" si="23">D68*$C$15-C68*$B$5*$C$15-B68*$C$9/$C$18</f>
        <v>-11.758386413043478</v>
      </c>
      <c r="M68" s="6">
        <f t="shared" ref="M68:M94" si="24">IF($C$18&lt;$C$7,"n/a",H68-$B$17*MAX(0,L68)*F68)</f>
        <v>-259.41977774562076</v>
      </c>
      <c r="N68" s="2" t="s">
        <v>373</v>
      </c>
    </row>
    <row r="69" spans="1:14" x14ac:dyDescent="0.3">
      <c r="A69" s="2" t="s">
        <v>374</v>
      </c>
      <c r="B69" s="2">
        <v>1.05</v>
      </c>
      <c r="C69" s="2">
        <v>1</v>
      </c>
      <c r="D69" s="2">
        <v>1</v>
      </c>
      <c r="E69" s="2">
        <v>0</v>
      </c>
      <c r="F69" s="5">
        <f t="shared" si="17"/>
        <v>9.0908772291197089</v>
      </c>
      <c r="G69" s="6">
        <f t="shared" si="18"/>
        <v>-153.68064498623073</v>
      </c>
      <c r="H69" s="6">
        <f t="shared" si="19"/>
        <v>-273.86422219006528</v>
      </c>
      <c r="I69" s="5">
        <f t="shared" si="20"/>
        <v>0</v>
      </c>
      <c r="J69" s="6">
        <f t="shared" si="21"/>
        <v>-5.1604077898550713</v>
      </c>
      <c r="K69" s="6">
        <f t="shared" si="22"/>
        <v>-153.68064498623073</v>
      </c>
      <c r="L69" s="6">
        <f t="shared" si="23"/>
        <v>-12.508386413043478</v>
      </c>
      <c r="M69" s="6">
        <f t="shared" si="24"/>
        <v>-273.86422219006528</v>
      </c>
      <c r="N69" s="2" t="s">
        <v>374</v>
      </c>
    </row>
    <row r="70" spans="1:14" x14ac:dyDescent="0.3">
      <c r="A70" s="2" t="s">
        <v>375</v>
      </c>
      <c r="B70" s="2">
        <v>0.95</v>
      </c>
      <c r="C70" s="2">
        <v>1</v>
      </c>
      <c r="D70" s="2">
        <v>1</v>
      </c>
      <c r="E70" s="2">
        <v>0</v>
      </c>
      <c r="F70" s="5">
        <f t="shared" si="17"/>
        <v>9.0908772291197089</v>
      </c>
      <c r="G70" s="6">
        <f t="shared" si="18"/>
        <v>-134.42138572697144</v>
      </c>
      <c r="H70" s="6">
        <f t="shared" si="19"/>
        <v>-244.97533330117631</v>
      </c>
      <c r="I70" s="5">
        <f t="shared" si="20"/>
        <v>0</v>
      </c>
      <c r="J70" s="6">
        <f t="shared" si="21"/>
        <v>-4.1604077898550713</v>
      </c>
      <c r="K70" s="6">
        <f t="shared" si="22"/>
        <v>-134.42138572697144</v>
      </c>
      <c r="L70" s="6">
        <f t="shared" si="23"/>
        <v>-11.008386413043478</v>
      </c>
      <c r="M70" s="6">
        <f t="shared" si="24"/>
        <v>-244.97533330117631</v>
      </c>
      <c r="N70" s="2" t="s">
        <v>375</v>
      </c>
    </row>
    <row r="71" spans="1:14" x14ac:dyDescent="0.3">
      <c r="A71" s="2" t="s">
        <v>376</v>
      </c>
      <c r="B71" s="2">
        <v>1.1000000000000001</v>
      </c>
      <c r="C71" s="2">
        <v>1</v>
      </c>
      <c r="D71" s="2">
        <v>1</v>
      </c>
      <c r="E71" s="2">
        <v>0</v>
      </c>
      <c r="F71" s="5">
        <f t="shared" si="17"/>
        <v>9.0908772291197089</v>
      </c>
      <c r="G71" s="6">
        <f t="shared" si="18"/>
        <v>-163.31027461586035</v>
      </c>
      <c r="H71" s="6">
        <f t="shared" si="19"/>
        <v>-288.30866663450968</v>
      </c>
      <c r="I71" s="5">
        <f t="shared" si="20"/>
        <v>0</v>
      </c>
      <c r="J71" s="6">
        <f t="shared" si="21"/>
        <v>-5.6604077898550731</v>
      </c>
      <c r="K71" s="6">
        <f t="shared" si="22"/>
        <v>-163.31027461586035</v>
      </c>
      <c r="L71" s="6">
        <f t="shared" si="23"/>
        <v>-13.258386413043478</v>
      </c>
      <c r="M71" s="6">
        <f t="shared" si="24"/>
        <v>-288.30866663450968</v>
      </c>
      <c r="N71" s="2" t="s">
        <v>376</v>
      </c>
    </row>
    <row r="72" spans="1:14" x14ac:dyDescent="0.3">
      <c r="A72" s="2" t="s">
        <v>377</v>
      </c>
      <c r="B72" s="2">
        <v>0.9</v>
      </c>
      <c r="C72" s="2">
        <v>1</v>
      </c>
      <c r="D72" s="2">
        <v>1</v>
      </c>
      <c r="E72" s="2">
        <v>0</v>
      </c>
      <c r="F72" s="5">
        <f t="shared" si="17"/>
        <v>9.0908772291197089</v>
      </c>
      <c r="G72" s="6">
        <f t="shared" si="18"/>
        <v>-124.79175609734182</v>
      </c>
      <c r="H72" s="6">
        <f t="shared" si="19"/>
        <v>-230.53088885673191</v>
      </c>
      <c r="I72" s="5">
        <f t="shared" si="20"/>
        <v>0</v>
      </c>
      <c r="J72" s="6">
        <f t="shared" si="21"/>
        <v>-3.6604077898550713</v>
      </c>
      <c r="K72" s="6">
        <f t="shared" si="22"/>
        <v>-124.79175609734182</v>
      </c>
      <c r="L72" s="6">
        <f t="shared" si="23"/>
        <v>-10.258386413043478</v>
      </c>
      <c r="M72" s="6">
        <f t="shared" si="24"/>
        <v>-230.53088885673191</v>
      </c>
      <c r="N72" s="2" t="s">
        <v>377</v>
      </c>
    </row>
    <row r="73" spans="1:14" x14ac:dyDescent="0.3">
      <c r="A73" s="2" t="s">
        <v>378</v>
      </c>
      <c r="B73" s="2">
        <v>1.2</v>
      </c>
      <c r="C73" s="2">
        <v>1</v>
      </c>
      <c r="D73" s="2">
        <v>1</v>
      </c>
      <c r="E73" s="2">
        <v>0</v>
      </c>
      <c r="F73" s="5">
        <f t="shared" si="17"/>
        <v>9.0908772291197089</v>
      </c>
      <c r="G73" s="6">
        <f t="shared" si="18"/>
        <v>-182.56953387511959</v>
      </c>
      <c r="H73" s="6">
        <f t="shared" si="19"/>
        <v>-317.19755552339853</v>
      </c>
      <c r="I73" s="5">
        <f t="shared" si="20"/>
        <v>0</v>
      </c>
      <c r="J73" s="6">
        <f t="shared" si="21"/>
        <v>-6.6604077898550713</v>
      </c>
      <c r="K73" s="6">
        <f t="shared" si="22"/>
        <v>-182.56953387511959</v>
      </c>
      <c r="L73" s="6">
        <f t="shared" si="23"/>
        <v>-14.758386413043478</v>
      </c>
      <c r="M73" s="6">
        <f t="shared" si="24"/>
        <v>-317.19755552339853</v>
      </c>
      <c r="N73" s="2" t="s">
        <v>378</v>
      </c>
    </row>
    <row r="74" spans="1:14" x14ac:dyDescent="0.3">
      <c r="A74" s="2" t="s">
        <v>379</v>
      </c>
      <c r="B74" s="2">
        <v>0.8</v>
      </c>
      <c r="C74" s="2">
        <v>1</v>
      </c>
      <c r="D74" s="2">
        <v>1</v>
      </c>
      <c r="E74" s="2">
        <v>0</v>
      </c>
      <c r="F74" s="5">
        <f t="shared" si="17"/>
        <v>9.0908772291197089</v>
      </c>
      <c r="G74" s="6">
        <f t="shared" si="18"/>
        <v>-105.53249683808258</v>
      </c>
      <c r="H74" s="6">
        <f t="shared" si="19"/>
        <v>-201.64199996784305</v>
      </c>
      <c r="I74" s="5">
        <f t="shared" si="20"/>
        <v>0</v>
      </c>
      <c r="J74" s="6">
        <f t="shared" si="21"/>
        <v>-2.6604077898550713</v>
      </c>
      <c r="K74" s="6">
        <f t="shared" si="22"/>
        <v>-105.53249683808258</v>
      </c>
      <c r="L74" s="6">
        <f t="shared" si="23"/>
        <v>-8.7583864130434783</v>
      </c>
      <c r="M74" s="6">
        <f t="shared" si="24"/>
        <v>-201.64199996784305</v>
      </c>
      <c r="N74" s="2" t="s">
        <v>379</v>
      </c>
    </row>
    <row r="75" spans="1:14" x14ac:dyDescent="0.3">
      <c r="A75" s="2" t="s">
        <v>380</v>
      </c>
      <c r="B75" s="2">
        <v>1</v>
      </c>
      <c r="C75" s="2">
        <v>1.05</v>
      </c>
      <c r="D75" s="2">
        <v>1</v>
      </c>
      <c r="E75" s="2">
        <v>0</v>
      </c>
      <c r="F75" s="5">
        <f t="shared" si="17"/>
        <v>9.0908772291197089</v>
      </c>
      <c r="G75" s="6">
        <f t="shared" si="18"/>
        <v>-152.2327970400431</v>
      </c>
      <c r="H75" s="6">
        <f t="shared" si="19"/>
        <v>-264.38685643379603</v>
      </c>
      <c r="I75" s="5">
        <f t="shared" si="20"/>
        <v>0</v>
      </c>
      <c r="J75" s="6">
        <f t="shared" si="21"/>
        <v>-5.5604069293478275</v>
      </c>
      <c r="K75" s="6">
        <f t="shared" si="22"/>
        <v>-152.2327970400431</v>
      </c>
      <c r="L75" s="6">
        <f t="shared" si="23"/>
        <v>-12.304766983695652</v>
      </c>
      <c r="M75" s="6">
        <f t="shared" si="24"/>
        <v>-264.38685643379603</v>
      </c>
      <c r="N75" s="2" t="s">
        <v>380</v>
      </c>
    </row>
    <row r="76" spans="1:14" x14ac:dyDescent="0.3">
      <c r="A76" s="2" t="s">
        <v>381</v>
      </c>
      <c r="B76" s="2">
        <v>1</v>
      </c>
      <c r="C76" s="2">
        <v>0.95</v>
      </c>
      <c r="D76" s="2">
        <v>1</v>
      </c>
      <c r="E76" s="2">
        <v>0</v>
      </c>
      <c r="F76" s="5">
        <f t="shared" si="17"/>
        <v>9.0908772291197089</v>
      </c>
      <c r="G76" s="6">
        <f t="shared" si="18"/>
        <v>-135.86923367315907</v>
      </c>
      <c r="H76" s="6">
        <f t="shared" si="19"/>
        <v>-254.45269905744547</v>
      </c>
      <c r="I76" s="5">
        <f t="shared" si="20"/>
        <v>0</v>
      </c>
      <c r="J76" s="6">
        <f t="shared" si="21"/>
        <v>-3.7604086503623186</v>
      </c>
      <c r="K76" s="6">
        <f t="shared" si="22"/>
        <v>-135.86923367315907</v>
      </c>
      <c r="L76" s="6">
        <f t="shared" si="23"/>
        <v>-11.212005842391305</v>
      </c>
      <c r="M76" s="6">
        <f t="shared" si="24"/>
        <v>-254.45269905744547</v>
      </c>
      <c r="N76" s="2" t="s">
        <v>381</v>
      </c>
    </row>
    <row r="77" spans="1:14" x14ac:dyDescent="0.3">
      <c r="A77" s="2" t="s">
        <v>382</v>
      </c>
      <c r="B77" s="2">
        <v>1</v>
      </c>
      <c r="C77" s="2">
        <v>1.1000000000000001</v>
      </c>
      <c r="D77" s="2">
        <v>1</v>
      </c>
      <c r="E77" s="2">
        <v>0</v>
      </c>
      <c r="F77" s="5">
        <f t="shared" si="17"/>
        <v>9.0908772291197089</v>
      </c>
      <c r="G77" s="6">
        <f t="shared" si="18"/>
        <v>-160.41457872348511</v>
      </c>
      <c r="H77" s="6">
        <f t="shared" si="19"/>
        <v>-269.35393512197129</v>
      </c>
      <c r="I77" s="5">
        <f t="shared" si="20"/>
        <v>0</v>
      </c>
      <c r="J77" s="6">
        <f t="shared" si="21"/>
        <v>-6.4604060688405802</v>
      </c>
      <c r="K77" s="6">
        <f t="shared" si="22"/>
        <v>-160.41457872348511</v>
      </c>
      <c r="L77" s="6">
        <f t="shared" si="23"/>
        <v>-12.851147554347827</v>
      </c>
      <c r="M77" s="6">
        <f t="shared" si="24"/>
        <v>-269.35393512197129</v>
      </c>
      <c r="N77" s="2" t="s">
        <v>382</v>
      </c>
    </row>
    <row r="78" spans="1:14" x14ac:dyDescent="0.3">
      <c r="A78" s="2" t="s">
        <v>383</v>
      </c>
      <c r="B78" s="2">
        <v>1</v>
      </c>
      <c r="C78" s="2">
        <v>0.9</v>
      </c>
      <c r="D78" s="2">
        <v>1</v>
      </c>
      <c r="E78" s="2">
        <v>0</v>
      </c>
      <c r="F78" s="5">
        <f t="shared" si="17"/>
        <v>9.0908772291197089</v>
      </c>
      <c r="G78" s="6">
        <f t="shared" si="18"/>
        <v>-127.68745198971706</v>
      </c>
      <c r="H78" s="6">
        <f t="shared" si="19"/>
        <v>-249.48562036927018</v>
      </c>
      <c r="I78" s="5">
        <f t="shared" si="20"/>
        <v>0</v>
      </c>
      <c r="J78" s="6">
        <f t="shared" si="21"/>
        <v>-2.860409510869566</v>
      </c>
      <c r="K78" s="6">
        <f t="shared" si="22"/>
        <v>-127.68745198971706</v>
      </c>
      <c r="L78" s="6">
        <f t="shared" si="23"/>
        <v>-10.665625271739129</v>
      </c>
      <c r="M78" s="6">
        <f t="shared" si="24"/>
        <v>-249.48562036927018</v>
      </c>
      <c r="N78" s="2" t="s">
        <v>383</v>
      </c>
    </row>
    <row r="79" spans="1:14" x14ac:dyDescent="0.3">
      <c r="A79" s="2" t="s">
        <v>384</v>
      </c>
      <c r="B79" s="2">
        <v>1</v>
      </c>
      <c r="C79" s="2">
        <v>1.2</v>
      </c>
      <c r="D79" s="2">
        <v>1</v>
      </c>
      <c r="E79" s="2">
        <v>0</v>
      </c>
      <c r="F79" s="5">
        <f t="shared" si="17"/>
        <v>9.0908772291197089</v>
      </c>
      <c r="G79" s="6">
        <f t="shared" si="18"/>
        <v>-176.7781420903691</v>
      </c>
      <c r="H79" s="6">
        <f t="shared" si="19"/>
        <v>-279.28809249832187</v>
      </c>
      <c r="I79" s="5">
        <f t="shared" si="20"/>
        <v>0</v>
      </c>
      <c r="J79" s="6">
        <f t="shared" si="21"/>
        <v>-8.2604043478260856</v>
      </c>
      <c r="K79" s="6">
        <f t="shared" si="22"/>
        <v>-176.7781420903691</v>
      </c>
      <c r="L79" s="6">
        <f t="shared" si="23"/>
        <v>-13.943908695652173</v>
      </c>
      <c r="M79" s="6">
        <f t="shared" si="24"/>
        <v>-279.28809249832187</v>
      </c>
      <c r="N79" s="2" t="s">
        <v>384</v>
      </c>
    </row>
    <row r="80" spans="1:14" x14ac:dyDescent="0.3">
      <c r="A80" s="2" t="s">
        <v>385</v>
      </c>
      <c r="B80" s="2">
        <v>1</v>
      </c>
      <c r="C80" s="2">
        <v>0.8</v>
      </c>
      <c r="D80" s="2">
        <v>1</v>
      </c>
      <c r="E80" s="2">
        <v>0</v>
      </c>
      <c r="F80" s="5">
        <f t="shared" si="17"/>
        <v>9.0908772291197089</v>
      </c>
      <c r="G80" s="6">
        <f t="shared" si="18"/>
        <v>-111.32388862283307</v>
      </c>
      <c r="H80" s="6">
        <f t="shared" si="19"/>
        <v>-239.55146299291965</v>
      </c>
      <c r="I80" s="5">
        <f t="shared" si="20"/>
        <v>0</v>
      </c>
      <c r="J80" s="6">
        <f t="shared" si="21"/>
        <v>-1.0604112318840588</v>
      </c>
      <c r="K80" s="6">
        <f t="shared" si="22"/>
        <v>-111.32388862283307</v>
      </c>
      <c r="L80" s="6">
        <f t="shared" si="23"/>
        <v>-9.5728641304347821</v>
      </c>
      <c r="M80" s="6">
        <f t="shared" si="24"/>
        <v>-239.55146299291965</v>
      </c>
      <c r="N80" s="2" t="s">
        <v>385</v>
      </c>
    </row>
    <row r="81" spans="1:14" x14ac:dyDescent="0.3">
      <c r="A81" s="2" t="s">
        <v>386</v>
      </c>
      <c r="B81" s="2">
        <v>1</v>
      </c>
      <c r="C81" s="2">
        <v>1</v>
      </c>
      <c r="D81" s="2">
        <v>1.05</v>
      </c>
      <c r="E81" s="2">
        <v>0</v>
      </c>
      <c r="F81" s="5">
        <f t="shared" si="17"/>
        <v>9.0908772291197089</v>
      </c>
      <c r="G81" s="6">
        <f t="shared" si="18"/>
        <v>-133.4421548113595</v>
      </c>
      <c r="H81" s="6">
        <f t="shared" si="19"/>
        <v>-252.97924350028205</v>
      </c>
      <c r="I81" s="5">
        <f t="shared" si="20"/>
        <v>0</v>
      </c>
      <c r="J81" s="6">
        <f t="shared" si="21"/>
        <v>-3.4934290398550694</v>
      </c>
      <c r="K81" s="6">
        <f t="shared" si="22"/>
        <v>-133.4421548113595</v>
      </c>
      <c r="L81" s="6">
        <f t="shared" si="23"/>
        <v>-11.049925163043477</v>
      </c>
      <c r="M81" s="6">
        <f t="shared" si="24"/>
        <v>-252.97924350028205</v>
      </c>
      <c r="N81" s="2" t="s">
        <v>386</v>
      </c>
    </row>
    <row r="82" spans="1:14" x14ac:dyDescent="0.3">
      <c r="A82" s="2" t="s">
        <v>387</v>
      </c>
      <c r="B82" s="2">
        <v>1</v>
      </c>
      <c r="C82" s="2">
        <v>1</v>
      </c>
      <c r="D82" s="2">
        <v>0.95</v>
      </c>
      <c r="E82" s="2">
        <v>0</v>
      </c>
      <c r="F82" s="5">
        <f t="shared" si="17"/>
        <v>9.0908772291197089</v>
      </c>
      <c r="G82" s="6">
        <f t="shared" si="18"/>
        <v>-154.65987590184267</v>
      </c>
      <c r="H82" s="6">
        <f t="shared" si="19"/>
        <v>-265.86031199095942</v>
      </c>
      <c r="I82" s="5">
        <f t="shared" si="20"/>
        <v>0</v>
      </c>
      <c r="J82" s="6">
        <f t="shared" si="21"/>
        <v>-5.8273865398550733</v>
      </c>
      <c r="K82" s="6">
        <f t="shared" si="22"/>
        <v>-154.65987590184267</v>
      </c>
      <c r="L82" s="6">
        <f t="shared" si="23"/>
        <v>-12.466847663043479</v>
      </c>
      <c r="M82" s="6">
        <f t="shared" si="24"/>
        <v>-265.86031199095942</v>
      </c>
      <c r="N82" s="2" t="s">
        <v>387</v>
      </c>
    </row>
    <row r="83" spans="1:14" x14ac:dyDescent="0.3">
      <c r="A83" s="2" t="s">
        <v>388</v>
      </c>
      <c r="B83" s="2">
        <v>1</v>
      </c>
      <c r="C83" s="2">
        <v>1</v>
      </c>
      <c r="D83" s="2">
        <v>1.1000000000000001</v>
      </c>
      <c r="E83" s="2">
        <v>0</v>
      </c>
      <c r="F83" s="5">
        <f t="shared" si="17"/>
        <v>9.0908772291197089</v>
      </c>
      <c r="G83" s="6">
        <f t="shared" si="18"/>
        <v>-122.83329426611789</v>
      </c>
      <c r="H83" s="6">
        <f t="shared" si="19"/>
        <v>-246.53870925494337</v>
      </c>
      <c r="I83" s="5">
        <f t="shared" si="20"/>
        <v>0</v>
      </c>
      <c r="J83" s="6">
        <f t="shared" si="21"/>
        <v>-2.3264502898550674</v>
      </c>
      <c r="K83" s="6">
        <f t="shared" si="22"/>
        <v>-122.83329426611789</v>
      </c>
      <c r="L83" s="6">
        <f t="shared" si="23"/>
        <v>-10.341463913043476</v>
      </c>
      <c r="M83" s="6">
        <f t="shared" si="24"/>
        <v>-246.53870925494337</v>
      </c>
      <c r="N83" s="2" t="s">
        <v>388</v>
      </c>
    </row>
    <row r="84" spans="1:14" x14ac:dyDescent="0.3">
      <c r="A84" s="2" t="s">
        <v>389</v>
      </c>
      <c r="B84" s="2">
        <v>1</v>
      </c>
      <c r="C84" s="2">
        <v>1</v>
      </c>
      <c r="D84" s="2">
        <v>0.9</v>
      </c>
      <c r="E84" s="2">
        <v>0</v>
      </c>
      <c r="F84" s="5">
        <f t="shared" si="17"/>
        <v>9.0908772291197089</v>
      </c>
      <c r="G84" s="6">
        <f t="shared" si="18"/>
        <v>-165.26873644708425</v>
      </c>
      <c r="H84" s="6">
        <f t="shared" si="19"/>
        <v>-272.30084623629813</v>
      </c>
      <c r="I84" s="5">
        <f t="shared" si="20"/>
        <v>0</v>
      </c>
      <c r="J84" s="6">
        <f t="shared" si="21"/>
        <v>-6.9943652898550717</v>
      </c>
      <c r="K84" s="6">
        <f t="shared" si="22"/>
        <v>-165.26873644708425</v>
      </c>
      <c r="L84" s="6">
        <f t="shared" si="23"/>
        <v>-13.175308913043478</v>
      </c>
      <c r="M84" s="6">
        <f t="shared" si="24"/>
        <v>-272.30084623629813</v>
      </c>
      <c r="N84" s="2" t="s">
        <v>389</v>
      </c>
    </row>
    <row r="85" spans="1:14" x14ac:dyDescent="0.3">
      <c r="A85" s="2" t="s">
        <v>390</v>
      </c>
      <c r="B85" s="2">
        <v>1</v>
      </c>
      <c r="C85" s="2">
        <v>1</v>
      </c>
      <c r="D85" s="2">
        <v>1.2</v>
      </c>
      <c r="E85" s="2">
        <v>0</v>
      </c>
      <c r="F85" s="5">
        <f t="shared" si="17"/>
        <v>9.0908772291197089</v>
      </c>
      <c r="G85" s="6">
        <f t="shared" si="18"/>
        <v>-101.61557317563475</v>
      </c>
      <c r="H85" s="6">
        <f t="shared" si="19"/>
        <v>-233.65764076426601</v>
      </c>
      <c r="I85" s="5">
        <f t="shared" si="20"/>
        <v>0</v>
      </c>
      <c r="J85" s="6">
        <f t="shared" si="21"/>
        <v>7.5072101449293882E-3</v>
      </c>
      <c r="K85" s="6">
        <f t="shared" si="22"/>
        <v>-101.6292226007869</v>
      </c>
      <c r="L85" s="6">
        <f t="shared" si="23"/>
        <v>-8.9245414130434799</v>
      </c>
      <c r="M85" s="6">
        <f t="shared" si="24"/>
        <v>-233.65764076426601</v>
      </c>
      <c r="N85" s="2" t="s">
        <v>390</v>
      </c>
    </row>
    <row r="86" spans="1:14" x14ac:dyDescent="0.3">
      <c r="A86" s="2" t="s">
        <v>391</v>
      </c>
      <c r="B86" s="2">
        <v>1</v>
      </c>
      <c r="C86" s="2">
        <v>1</v>
      </c>
      <c r="D86" s="2">
        <v>0.8</v>
      </c>
      <c r="E86" s="2">
        <v>0</v>
      </c>
      <c r="F86" s="5">
        <f t="shared" si="17"/>
        <v>9.0908772291197089</v>
      </c>
      <c r="G86" s="6">
        <f t="shared" si="18"/>
        <v>-186.48645753756739</v>
      </c>
      <c r="H86" s="6">
        <f t="shared" si="19"/>
        <v>-285.18191472697549</v>
      </c>
      <c r="I86" s="5">
        <f t="shared" si="20"/>
        <v>0</v>
      </c>
      <c r="J86" s="6">
        <f t="shared" si="21"/>
        <v>-9.328322789855072</v>
      </c>
      <c r="K86" s="6">
        <f t="shared" si="22"/>
        <v>-186.48645753756739</v>
      </c>
      <c r="L86" s="6">
        <f t="shared" si="23"/>
        <v>-14.592231413043478</v>
      </c>
      <c r="M86" s="6">
        <f t="shared" si="24"/>
        <v>-285.18191472697549</v>
      </c>
      <c r="N86" s="2" t="s">
        <v>391</v>
      </c>
    </row>
    <row r="87" spans="1:14" x14ac:dyDescent="0.3">
      <c r="A87" s="2" t="s">
        <v>392</v>
      </c>
      <c r="B87" s="2">
        <v>1.05</v>
      </c>
      <c r="C87" s="2">
        <v>1</v>
      </c>
      <c r="D87" s="2">
        <v>0.95</v>
      </c>
      <c r="E87" s="2">
        <v>0</v>
      </c>
      <c r="F87" s="5">
        <f t="shared" si="17"/>
        <v>9.0908772291197089</v>
      </c>
      <c r="G87" s="6">
        <f t="shared" si="18"/>
        <v>-164.28950553147232</v>
      </c>
      <c r="H87" s="6">
        <f t="shared" si="19"/>
        <v>-280.30475643540393</v>
      </c>
      <c r="I87" s="5">
        <f t="shared" si="20"/>
        <v>0</v>
      </c>
      <c r="J87" s="6">
        <f t="shared" si="21"/>
        <v>-6.3273865398550733</v>
      </c>
      <c r="K87" s="6">
        <f t="shared" si="22"/>
        <v>-164.28950553147232</v>
      </c>
      <c r="L87" s="6">
        <f t="shared" si="23"/>
        <v>-13.216847663043479</v>
      </c>
      <c r="M87" s="6">
        <f t="shared" si="24"/>
        <v>-280.30475643540393</v>
      </c>
      <c r="N87" s="2" t="s">
        <v>392</v>
      </c>
    </row>
    <row r="88" spans="1:14" x14ac:dyDescent="0.3">
      <c r="A88" s="2" t="s">
        <v>393</v>
      </c>
      <c r="B88" s="2">
        <v>0.95</v>
      </c>
      <c r="C88" s="2">
        <v>1</v>
      </c>
      <c r="D88" s="2">
        <v>1.05</v>
      </c>
      <c r="E88" s="2">
        <v>0</v>
      </c>
      <c r="F88" s="5">
        <f t="shared" si="17"/>
        <v>9.0908772291197089</v>
      </c>
      <c r="G88" s="6">
        <f t="shared" si="18"/>
        <v>-123.81252518172984</v>
      </c>
      <c r="H88" s="6">
        <f t="shared" si="19"/>
        <v>-238.5347990558376</v>
      </c>
      <c r="I88" s="5">
        <f t="shared" si="20"/>
        <v>0</v>
      </c>
      <c r="J88" s="6">
        <f t="shared" si="21"/>
        <v>-2.9934290398550694</v>
      </c>
      <c r="K88" s="6">
        <f t="shared" si="22"/>
        <v>-123.81252518172984</v>
      </c>
      <c r="L88" s="6">
        <f t="shared" si="23"/>
        <v>-10.299925163043477</v>
      </c>
      <c r="M88" s="6">
        <f t="shared" si="24"/>
        <v>-238.5347990558376</v>
      </c>
      <c r="N88" s="2" t="s">
        <v>393</v>
      </c>
    </row>
    <row r="89" spans="1:14" x14ac:dyDescent="0.3">
      <c r="A89" s="2" t="s">
        <v>394</v>
      </c>
      <c r="B89" s="2">
        <v>1.1000000000000001</v>
      </c>
      <c r="C89" s="2">
        <v>1</v>
      </c>
      <c r="D89" s="2">
        <v>0.9</v>
      </c>
      <c r="E89" s="2">
        <v>0</v>
      </c>
      <c r="F89" s="5">
        <f t="shared" si="17"/>
        <v>9.0908772291197089</v>
      </c>
      <c r="G89" s="6">
        <f t="shared" si="18"/>
        <v>-184.52799570634352</v>
      </c>
      <c r="H89" s="6">
        <f t="shared" si="19"/>
        <v>-301.18973512518704</v>
      </c>
      <c r="I89" s="5">
        <f t="shared" si="20"/>
        <v>0</v>
      </c>
      <c r="J89" s="6">
        <f t="shared" si="21"/>
        <v>-7.9943652898550734</v>
      </c>
      <c r="K89" s="6">
        <f t="shared" si="22"/>
        <v>-184.52799570634352</v>
      </c>
      <c r="L89" s="6">
        <f t="shared" si="23"/>
        <v>-14.675308913043478</v>
      </c>
      <c r="M89" s="6">
        <f t="shared" si="24"/>
        <v>-301.18973512518704</v>
      </c>
      <c r="N89" s="2" t="s">
        <v>394</v>
      </c>
    </row>
    <row r="90" spans="1:14" x14ac:dyDescent="0.3">
      <c r="A90" s="2" t="s">
        <v>395</v>
      </c>
      <c r="B90" s="2">
        <v>0.9</v>
      </c>
      <c r="C90" s="2">
        <v>1</v>
      </c>
      <c r="D90" s="2">
        <v>1.1000000000000001</v>
      </c>
      <c r="E90" s="2">
        <v>0</v>
      </c>
      <c r="F90" s="5">
        <f t="shared" si="17"/>
        <v>9.0908772291197089</v>
      </c>
      <c r="G90" s="6">
        <f t="shared" si="18"/>
        <v>-103.57403500685862</v>
      </c>
      <c r="H90" s="6">
        <f t="shared" si="19"/>
        <v>-217.64982036605451</v>
      </c>
      <c r="I90" s="5">
        <f t="shared" si="20"/>
        <v>0</v>
      </c>
      <c r="J90" s="6">
        <f t="shared" si="21"/>
        <v>-1.3264502898550674</v>
      </c>
      <c r="K90" s="6">
        <f t="shared" si="22"/>
        <v>-103.57403500685862</v>
      </c>
      <c r="L90" s="6">
        <f t="shared" si="23"/>
        <v>-8.8414639130434765</v>
      </c>
      <c r="M90" s="6">
        <f t="shared" si="24"/>
        <v>-217.64982036605451</v>
      </c>
      <c r="N90" s="2" t="s">
        <v>395</v>
      </c>
    </row>
    <row r="91" spans="1:14" x14ac:dyDescent="0.3">
      <c r="A91" s="2" t="s">
        <v>396</v>
      </c>
      <c r="B91" s="2">
        <v>1.2</v>
      </c>
      <c r="C91" s="2">
        <v>1</v>
      </c>
      <c r="D91" s="2">
        <v>0.8</v>
      </c>
      <c r="E91" s="2">
        <v>0</v>
      </c>
      <c r="F91" s="5">
        <f t="shared" si="17"/>
        <v>9.0908772291197089</v>
      </c>
      <c r="G91" s="6">
        <f t="shared" si="18"/>
        <v>-225.00497605608589</v>
      </c>
      <c r="H91" s="6">
        <f t="shared" si="19"/>
        <v>-342.95969250475326</v>
      </c>
      <c r="I91" s="5">
        <f t="shared" si="20"/>
        <v>0</v>
      </c>
      <c r="J91" s="6">
        <f t="shared" si="21"/>
        <v>-11.328322789855072</v>
      </c>
      <c r="K91" s="6">
        <f t="shared" si="22"/>
        <v>-225.00497605608589</v>
      </c>
      <c r="L91" s="6">
        <f t="shared" si="23"/>
        <v>-17.592231413043478</v>
      </c>
      <c r="M91" s="6">
        <f t="shared" si="24"/>
        <v>-342.95969250475326</v>
      </c>
      <c r="N91" s="2" t="s">
        <v>396</v>
      </c>
    </row>
    <row r="92" spans="1:14" x14ac:dyDescent="0.3">
      <c r="A92" s="2" t="s">
        <v>397</v>
      </c>
      <c r="B92" s="2">
        <v>0.8</v>
      </c>
      <c r="C92" s="2">
        <v>1</v>
      </c>
      <c r="D92" s="2">
        <v>1.2</v>
      </c>
      <c r="E92" s="2">
        <v>0</v>
      </c>
      <c r="F92" s="5">
        <f t="shared" si="17"/>
        <v>9.0908772291197089</v>
      </c>
      <c r="G92" s="6">
        <f t="shared" si="18"/>
        <v>-63.097054657116246</v>
      </c>
      <c r="H92" s="6">
        <f t="shared" si="19"/>
        <v>-175.87986298648829</v>
      </c>
      <c r="I92" s="5">
        <f t="shared" si="20"/>
        <v>0</v>
      </c>
      <c r="J92" s="6">
        <f t="shared" si="21"/>
        <v>2.0075072101449294</v>
      </c>
      <c r="K92" s="6">
        <f t="shared" si="22"/>
        <v>-66.747054973916278</v>
      </c>
      <c r="L92" s="6">
        <f t="shared" si="23"/>
        <v>-5.9245414130434799</v>
      </c>
      <c r="M92" s="6">
        <f t="shared" si="24"/>
        <v>-175.87986298648829</v>
      </c>
      <c r="N92" s="2" t="s">
        <v>397</v>
      </c>
    </row>
    <row r="93" spans="1:14" x14ac:dyDescent="0.3">
      <c r="A93" s="2" t="s">
        <v>398</v>
      </c>
      <c r="B93" s="2">
        <v>1</v>
      </c>
      <c r="C93" s="2">
        <v>1</v>
      </c>
      <c r="D93" s="2">
        <v>1</v>
      </c>
      <c r="E93" s="2">
        <v>1</v>
      </c>
      <c r="F93" s="5">
        <f t="shared" si="17"/>
        <v>8.4174789158515821</v>
      </c>
      <c r="G93" s="6">
        <f t="shared" si="18"/>
        <v>-147.64668774445229</v>
      </c>
      <c r="H93" s="6">
        <f t="shared" si="19"/>
        <v>-261.60267486734432</v>
      </c>
      <c r="I93" s="5">
        <f t="shared" si="20"/>
        <v>0</v>
      </c>
      <c r="J93" s="6">
        <f t="shared" si="21"/>
        <v>-4.6604077898550713</v>
      </c>
      <c r="K93" s="6">
        <f t="shared" si="22"/>
        <v>-147.64668774445229</v>
      </c>
      <c r="L93" s="6">
        <f t="shared" si="23"/>
        <v>-11.758386413043478</v>
      </c>
      <c r="M93" s="6">
        <f t="shared" si="24"/>
        <v>-261.60267486734432</v>
      </c>
      <c r="N93" s="2" t="s">
        <v>398</v>
      </c>
    </row>
    <row r="94" spans="1:14" x14ac:dyDescent="0.3">
      <c r="A94" s="2" t="s">
        <v>399</v>
      </c>
      <c r="B94" s="2">
        <v>1</v>
      </c>
      <c r="C94" s="2">
        <v>1</v>
      </c>
      <c r="D94" s="2">
        <v>1</v>
      </c>
      <c r="E94" s="2">
        <v>0</v>
      </c>
      <c r="F94" s="5">
        <f t="shared" si="17"/>
        <v>9.0908772291197089</v>
      </c>
      <c r="G94" s="6">
        <f t="shared" si="18"/>
        <v>-287.85647706968189</v>
      </c>
      <c r="H94" s="6">
        <f t="shared" si="19"/>
        <v>-475.12797031524201</v>
      </c>
      <c r="I94" s="5">
        <f>Inputs!$C$166</f>
        <v>7.9093281148075664E-2</v>
      </c>
      <c r="J94" s="6">
        <f t="shared" si="21"/>
        <v>-4.6604077898550713</v>
      </c>
      <c r="K94" s="6">
        <f t="shared" si="22"/>
        <v>-287.85647706968189</v>
      </c>
      <c r="L94" s="6">
        <f t="shared" si="23"/>
        <v>-11.758386413043478</v>
      </c>
      <c r="M94" s="6">
        <f t="shared" si="24"/>
        <v>-475.12797031524201</v>
      </c>
      <c r="N94" s="2" t="s">
        <v>399</v>
      </c>
    </row>
    <row r="101" spans="1:9" x14ac:dyDescent="0.3">
      <c r="A101" s="1" t="s">
        <v>400</v>
      </c>
    </row>
    <row r="102" spans="1:9" ht="42" x14ac:dyDescent="0.3">
      <c r="A102" s="8" t="s">
        <v>401</v>
      </c>
      <c r="B102" s="8" t="s">
        <v>318</v>
      </c>
      <c r="C102" s="8" t="s">
        <v>319</v>
      </c>
      <c r="D102" s="8" t="s">
        <v>402</v>
      </c>
      <c r="E102" s="8" t="s">
        <v>367</v>
      </c>
      <c r="F102" s="8" t="s">
        <v>403</v>
      </c>
      <c r="G102" s="8" t="s">
        <v>364</v>
      </c>
      <c r="H102" s="8" t="s">
        <v>404</v>
      </c>
      <c r="I102" s="8" t="s">
        <v>405</v>
      </c>
    </row>
    <row r="103" spans="1:9" x14ac:dyDescent="0.3">
      <c r="A103" s="2" t="s">
        <v>406</v>
      </c>
      <c r="B103" s="7">
        <f>B6</f>
        <v>0.08</v>
      </c>
      <c r="C103" s="2">
        <f>B7</f>
        <v>20</v>
      </c>
      <c r="D103" s="2">
        <f>$B$19</f>
        <v>1</v>
      </c>
      <c r="E103" s="5">
        <f>B16</f>
        <v>0</v>
      </c>
      <c r="F103" s="6">
        <f>$B$14*$B$13/1000+D103*$B$14*Inputs!$D$148/1000</f>
        <v>23.339575000000004</v>
      </c>
      <c r="G103" s="5">
        <f t="shared" ref="G103:G113" si="25">(1+B103)^(-$B$8)*(1-(1+B103)^(-C103))/(1-1/(1+B103))</f>
        <v>9.0908772291197018</v>
      </c>
      <c r="H103" s="6">
        <f t="shared" ref="H103:H113" si="26">($B$9/$B$8)*(1-(1+B103)^(-$B$8))/(1-1/(1+B103))</f>
        <v>192.59259259259238</v>
      </c>
      <c r="I103" s="6">
        <f t="shared" ref="I103:I113" si="27">(F103*(1-$B$5)-E103*$B$9)*G103-H103</f>
        <v>-144.05101535660091</v>
      </c>
    </row>
    <row r="104" spans="1:9" x14ac:dyDescent="0.3">
      <c r="A104" s="2" t="s">
        <v>407</v>
      </c>
      <c r="B104" s="7">
        <f>B6</f>
        <v>0.08</v>
      </c>
      <c r="C104" s="2">
        <f>B7</f>
        <v>20</v>
      </c>
      <c r="D104" s="2">
        <v>0</v>
      </c>
      <c r="E104" s="5">
        <f>B16</f>
        <v>0</v>
      </c>
      <c r="F104" s="6">
        <f>$B$14*$B$13/1000+D104*$B$14*Inputs!$D$148/1000</f>
        <v>14.169225000000003</v>
      </c>
      <c r="G104" s="5">
        <f t="shared" si="25"/>
        <v>9.0908772291197018</v>
      </c>
      <c r="H104" s="6">
        <f t="shared" si="26"/>
        <v>192.59259259259238</v>
      </c>
      <c r="I104" s="6">
        <f t="shared" si="27"/>
        <v>-163.12348144932429</v>
      </c>
    </row>
    <row r="105" spans="1:9" x14ac:dyDescent="0.3">
      <c r="A105" s="2" t="s">
        <v>408</v>
      </c>
      <c r="B105" s="7">
        <f>B6</f>
        <v>0.08</v>
      </c>
      <c r="C105" s="2">
        <v>30</v>
      </c>
      <c r="D105" s="2">
        <f t="shared" ref="D105:D111" si="28">$B$19</f>
        <v>1</v>
      </c>
      <c r="E105" s="5">
        <f>B16</f>
        <v>0</v>
      </c>
      <c r="F105" s="6">
        <f>$B$14*$B$13/1000+D105*$B$14*Inputs!$D$148/1000</f>
        <v>23.339575000000004</v>
      </c>
      <c r="G105" s="5">
        <f t="shared" si="25"/>
        <v>10.423873465858767</v>
      </c>
      <c r="H105" s="6">
        <f t="shared" si="26"/>
        <v>192.59259259259238</v>
      </c>
      <c r="I105" s="6">
        <f t="shared" si="27"/>
        <v>-136.93335903475651</v>
      </c>
    </row>
    <row r="106" spans="1:9" x14ac:dyDescent="0.3">
      <c r="A106" s="2" t="s">
        <v>409</v>
      </c>
      <c r="B106" s="7">
        <f>B6</f>
        <v>0.08</v>
      </c>
      <c r="C106" s="2">
        <v>40</v>
      </c>
      <c r="D106" s="2">
        <f t="shared" si="28"/>
        <v>1</v>
      </c>
      <c r="E106" s="5">
        <f>B16</f>
        <v>0</v>
      </c>
      <c r="F106" s="6">
        <f>$B$14*$B$13/1000+D106*$B$14*Inputs!$D$148/1000</f>
        <v>23.339575000000004</v>
      </c>
      <c r="G106" s="5">
        <f t="shared" si="25"/>
        <v>11.041308642357691</v>
      </c>
      <c r="H106" s="6">
        <f t="shared" si="26"/>
        <v>192.59259259259238</v>
      </c>
      <c r="I106" s="6">
        <f t="shared" si="27"/>
        <v>-133.6365069760534</v>
      </c>
    </row>
    <row r="107" spans="1:9" x14ac:dyDescent="0.3">
      <c r="A107" s="2" t="s">
        <v>410</v>
      </c>
      <c r="B107" s="7">
        <v>0.06</v>
      </c>
      <c r="C107" s="2">
        <f>B7</f>
        <v>20</v>
      </c>
      <c r="D107" s="2">
        <f t="shared" si="28"/>
        <v>1</v>
      </c>
      <c r="E107" s="5">
        <f>B16</f>
        <v>0</v>
      </c>
      <c r="F107" s="6">
        <f>$B$14*$B$13/1000+D107*$B$14*Inputs!$D$148/1000</f>
        <v>23.339575000000004</v>
      </c>
      <c r="G107" s="5">
        <f t="shared" si="25"/>
        <v>10.820680394872868</v>
      </c>
      <c r="H107" s="6">
        <f t="shared" si="26"/>
        <v>194.33962264150929</v>
      </c>
      <c r="I107" s="6">
        <f t="shared" si="27"/>
        <v>-136.5616018965782</v>
      </c>
    </row>
    <row r="108" spans="1:9" x14ac:dyDescent="0.3">
      <c r="A108" s="2" t="s">
        <v>411</v>
      </c>
      <c r="B108" s="7">
        <v>7.0000000000000007E-2</v>
      </c>
      <c r="C108" s="2">
        <f>B7</f>
        <v>20</v>
      </c>
      <c r="D108" s="2">
        <f t="shared" si="28"/>
        <v>1</v>
      </c>
      <c r="E108" s="5">
        <f>B16</f>
        <v>0</v>
      </c>
      <c r="F108" s="6">
        <f>$B$14*$B$13/1000+D108*$B$14*Inputs!$D$148/1000</f>
        <v>23.339575000000004</v>
      </c>
      <c r="G108" s="5">
        <f t="shared" si="25"/>
        <v>9.9009478930057568</v>
      </c>
      <c r="H108" s="6">
        <f t="shared" si="26"/>
        <v>193.45794392523374</v>
      </c>
      <c r="I108" s="6">
        <f t="shared" si="27"/>
        <v>-140.59091968268936</v>
      </c>
    </row>
    <row r="109" spans="1:9" x14ac:dyDescent="0.3">
      <c r="A109" s="2" t="s">
        <v>412</v>
      </c>
      <c r="B109" s="7">
        <v>0.1</v>
      </c>
      <c r="C109" s="2">
        <f>B7</f>
        <v>20</v>
      </c>
      <c r="D109" s="2">
        <f t="shared" si="28"/>
        <v>1</v>
      </c>
      <c r="E109" s="5">
        <f>B16</f>
        <v>0</v>
      </c>
      <c r="F109" s="6">
        <f>$B$14*$B$13/1000+D109*$B$14*Inputs!$D$148/1000</f>
        <v>23.339575000000004</v>
      </c>
      <c r="G109" s="5">
        <f t="shared" si="25"/>
        <v>7.7396033815986929</v>
      </c>
      <c r="H109" s="6">
        <f t="shared" si="26"/>
        <v>190.90909090909093</v>
      </c>
      <c r="I109" s="6">
        <f t="shared" si="27"/>
        <v>-149.58276498309522</v>
      </c>
    </row>
    <row r="110" spans="1:9" x14ac:dyDescent="0.3">
      <c r="A110" s="2" t="s">
        <v>413</v>
      </c>
      <c r="B110" s="7">
        <f>B6</f>
        <v>0.08</v>
      </c>
      <c r="C110" s="2">
        <f>B7</f>
        <v>20</v>
      </c>
      <c r="D110" s="2">
        <f t="shared" si="28"/>
        <v>1</v>
      </c>
      <c r="E110" s="5">
        <f>Inputs!$C$166</f>
        <v>7.9093281148075664E-2</v>
      </c>
      <c r="F110" s="6">
        <f>$B$14*$B$13/1000+D110*$B$14*Inputs!$D$148/1000</f>
        <v>23.339575000000004</v>
      </c>
      <c r="G110" s="5">
        <f t="shared" si="25"/>
        <v>9.0908772291197018</v>
      </c>
      <c r="H110" s="6">
        <f t="shared" si="26"/>
        <v>192.59259259259238</v>
      </c>
      <c r="I110" s="6">
        <f t="shared" si="27"/>
        <v>-287.85647706968166</v>
      </c>
    </row>
    <row r="111" spans="1:9" x14ac:dyDescent="0.3">
      <c r="A111" s="2" t="s">
        <v>414</v>
      </c>
      <c r="B111" s="7">
        <f>B6</f>
        <v>0.08</v>
      </c>
      <c r="C111" s="2">
        <v>30</v>
      </c>
      <c r="D111" s="2">
        <f t="shared" si="28"/>
        <v>1</v>
      </c>
      <c r="E111" s="5">
        <f>Inputs!$C$166</f>
        <v>7.9093281148075664E-2</v>
      </c>
      <c r="F111" s="6">
        <f>$B$14*$B$13/1000+D111*$B$14*Inputs!$D$148/1000</f>
        <v>23.339575000000004</v>
      </c>
      <c r="G111" s="5">
        <f t="shared" si="25"/>
        <v>10.423873465858767</v>
      </c>
      <c r="H111" s="6">
        <f t="shared" si="26"/>
        <v>192.59259259259238</v>
      </c>
      <c r="I111" s="6">
        <f t="shared" si="27"/>
        <v>-301.82502997218319</v>
      </c>
    </row>
    <row r="112" spans="1:9" x14ac:dyDescent="0.3">
      <c r="A112" s="2" t="s">
        <v>415</v>
      </c>
      <c r="B112" s="7">
        <f>B6</f>
        <v>0.08</v>
      </c>
      <c r="C112" s="2">
        <f>B7</f>
        <v>20</v>
      </c>
      <c r="D112" s="2">
        <v>0</v>
      </c>
      <c r="E112" s="5">
        <f>Inputs!$C$166</f>
        <v>7.9093281148075664E-2</v>
      </c>
      <c r="F112" s="6">
        <f>$B$14*$B$13/1000+D112*$B$14*Inputs!$D$148/1000</f>
        <v>14.169225000000003</v>
      </c>
      <c r="G112" s="5">
        <f t="shared" si="25"/>
        <v>9.0908772291197018</v>
      </c>
      <c r="H112" s="6">
        <f t="shared" si="26"/>
        <v>192.59259259259238</v>
      </c>
      <c r="I112" s="6">
        <f t="shared" si="27"/>
        <v>-306.92894316240506</v>
      </c>
    </row>
    <row r="113" spans="1:9" x14ac:dyDescent="0.3">
      <c r="A113" s="2" t="s">
        <v>416</v>
      </c>
      <c r="B113" s="7">
        <f>B6</f>
        <v>0.08</v>
      </c>
      <c r="C113" s="2">
        <v>30</v>
      </c>
      <c r="D113" s="2">
        <v>0</v>
      </c>
      <c r="E113" s="5">
        <f>Inputs!$C$166</f>
        <v>7.9093281148075664E-2</v>
      </c>
      <c r="F113" s="6">
        <f>$B$14*$B$13/1000+D113*$B$14*Inputs!$D$148/1000</f>
        <v>14.169225000000003</v>
      </c>
      <c r="G113" s="5">
        <f t="shared" si="25"/>
        <v>10.423873465858767</v>
      </c>
      <c r="H113" s="6">
        <f t="shared" si="26"/>
        <v>192.59259259259238</v>
      </c>
      <c r="I113" s="6">
        <f t="shared" si="27"/>
        <v>-323.69409367437572</v>
      </c>
    </row>
    <row r="118" spans="1:9" x14ac:dyDescent="0.3">
      <c r="A118" s="1" t="s">
        <v>417</v>
      </c>
    </row>
    <row r="119" spans="1:9" x14ac:dyDescent="0.3">
      <c r="A119" s="1" t="s">
        <v>418</v>
      </c>
      <c r="B119" s="5">
        <v>0.7</v>
      </c>
      <c r="C119" s="5">
        <f>B5</f>
        <v>0.77122153209109734</v>
      </c>
      <c r="D119" s="5">
        <f>Inputs!$C$151</f>
        <v>0.93830000000000002</v>
      </c>
    </row>
    <row r="120" spans="1:9" x14ac:dyDescent="0.3">
      <c r="A120" s="2">
        <v>150</v>
      </c>
      <c r="B120" s="6">
        <f t="shared" ref="B120:D123" si="29">$B$15*(1-B$119)*$B$27-$A120*($B$28/$B$9)-$B$16*$A120*$B$27</f>
        <v>-80.791281172994928</v>
      </c>
      <c r="C120" s="6">
        <f t="shared" si="29"/>
        <v>-95.902867208452932</v>
      </c>
      <c r="D120" s="6">
        <f t="shared" si="29"/>
        <v>-131.35311053161632</v>
      </c>
    </row>
    <row r="121" spans="1:9" x14ac:dyDescent="0.3">
      <c r="A121" s="2">
        <v>200</v>
      </c>
      <c r="B121" s="6">
        <f t="shared" si="29"/>
        <v>-128.93942932114308</v>
      </c>
      <c r="C121" s="6">
        <f t="shared" si="29"/>
        <v>-144.05101535660108</v>
      </c>
      <c r="D121" s="6">
        <f t="shared" si="29"/>
        <v>-179.50125867976448</v>
      </c>
    </row>
    <row r="122" spans="1:9" x14ac:dyDescent="0.3">
      <c r="A122" s="2">
        <v>250</v>
      </c>
      <c r="B122" s="6">
        <f t="shared" si="29"/>
        <v>-177.08757746929123</v>
      </c>
      <c r="C122" s="6">
        <f t="shared" si="29"/>
        <v>-192.19916350474924</v>
      </c>
      <c r="D122" s="6">
        <f t="shared" si="29"/>
        <v>-227.64940682791263</v>
      </c>
    </row>
    <row r="123" spans="1:9" x14ac:dyDescent="0.3">
      <c r="A123" s="2">
        <v>300</v>
      </c>
      <c r="B123" s="6">
        <f t="shared" si="29"/>
        <v>-225.23572561743936</v>
      </c>
      <c r="C123" s="6">
        <f t="shared" si="29"/>
        <v>-240.34731165289736</v>
      </c>
      <c r="D123" s="6">
        <f t="shared" si="29"/>
        <v>-275.79755497606072</v>
      </c>
    </row>
    <row r="126" spans="1:9" x14ac:dyDescent="0.3">
      <c r="A126" s="1" t="s">
        <v>419</v>
      </c>
    </row>
    <row r="127" spans="1:9" x14ac:dyDescent="0.3">
      <c r="A127" s="1" t="s">
        <v>420</v>
      </c>
      <c r="B127" s="1" t="s">
        <v>421</v>
      </c>
      <c r="C127" s="1" t="s">
        <v>339</v>
      </c>
      <c r="D127" s="1" t="s">
        <v>5</v>
      </c>
    </row>
    <row r="128" spans="1:9" x14ac:dyDescent="0.3">
      <c r="A128" s="2" t="s">
        <v>422</v>
      </c>
      <c r="B128" s="2">
        <v>17.8</v>
      </c>
      <c r="C128" s="2" t="s">
        <v>423</v>
      </c>
      <c r="D128" s="2" t="s">
        <v>424</v>
      </c>
    </row>
    <row r="129" spans="1:4" x14ac:dyDescent="0.3">
      <c r="A129" s="2" t="s">
        <v>425</v>
      </c>
      <c r="B129" s="2">
        <v>17.3</v>
      </c>
      <c r="C129" s="2" t="s">
        <v>423</v>
      </c>
      <c r="D129" s="2" t="s">
        <v>426</v>
      </c>
    </row>
    <row r="130" spans="1:4" x14ac:dyDescent="0.3">
      <c r="A130" s="2" t="s">
        <v>427</v>
      </c>
      <c r="B130" s="2">
        <f>Inputs!$C$83</f>
        <v>7.5</v>
      </c>
      <c r="C130" s="2" t="s">
        <v>428</v>
      </c>
      <c r="D130" s="2" t="s">
        <v>429</v>
      </c>
    </row>
    <row r="131" spans="1:4" x14ac:dyDescent="0.3">
      <c r="A131" s="2" t="s">
        <v>430</v>
      </c>
      <c r="B131" s="2">
        <v>14</v>
      </c>
      <c r="C131" s="2" t="s">
        <v>431</v>
      </c>
      <c r="D131" s="2" t="s">
        <v>432</v>
      </c>
    </row>
    <row r="132" spans="1:4" x14ac:dyDescent="0.3">
      <c r="A132" s="2" t="s">
        <v>433</v>
      </c>
      <c r="B132" s="2" t="s">
        <v>434</v>
      </c>
      <c r="D132" s="2" t="s">
        <v>95</v>
      </c>
    </row>
    <row r="134" spans="1:4" x14ac:dyDescent="0.3">
      <c r="A134" s="2" t="s">
        <v>435</v>
      </c>
      <c r="B134" s="6">
        <f>B25</f>
        <v>43.147150391637652</v>
      </c>
    </row>
    <row r="135" spans="1:4" x14ac:dyDescent="0.3">
      <c r="A135" s="2" t="s">
        <v>436</v>
      </c>
      <c r="B135" s="11">
        <f>B25/B128</f>
        <v>2.4239972130133514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cols>
    <col min="1" max="16384" width="8.7265625" style="2"/>
  </cols>
  <sheetData>
    <row r="1" spans="1:1" ht="15" x14ac:dyDescent="0.3">
      <c r="A1" s="4" t="s">
        <v>437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Appraisal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Kanokphan Sirithienthong</cp:lastModifiedBy>
  <dcterms:created xsi:type="dcterms:W3CDTF">2026-10-20T19:44:25Z</dcterms:created>
  <dcterms:modified xsi:type="dcterms:W3CDTF">2026-10-21T00:50:22Z</dcterms:modified>
</cp:coreProperties>
</file>