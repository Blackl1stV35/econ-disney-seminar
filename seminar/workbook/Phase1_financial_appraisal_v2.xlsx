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assumption: no tax depreciation life is established; the team economic project life is used as a proxy, not a sourced tax basis</t>
        </is>
      </c>
      <c r="H170" t="inlineStr">
        <is>
          <t>Straight-line tax depreciation over the project life from opening. Chow review point 4.</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Exact only where annual taxable income has one sign over the operating years, which holds for the base and every sensitivity case (constant annual taxable income). The Thai rule is five years (Revenue Code section 65 ter (12)). The workbook does not model loss vintages.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3"/>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which matches the theme-park revenue. Legacy column: the 300 bn complex capex on the same revenue, kept as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 The cash basis and the park-only boundary are decisions by kamolpeen (21 October 2026), with the same weight as team approval.</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B14*B13/1000</f>
        <v/>
      </c>
      <c r="C15">
        <f>B15</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IF($B$18&lt;$B$7,"not valid: tax depreciation ends before operations",SUM(R41:R63))</f>
        <v/>
      </c>
      <c r="C22" s="4">
        <f>IF(C18&lt;C7,"not valid: tax depreciation ends before operations",IF(C29&lt;=0,C21,"tax needed: not computed"))</f>
        <v/>
      </c>
    </row>
    <row r="23">
      <c r="A23" t="inlineStr">
        <is>
          <t>Operator IRR after tax</t>
        </is>
      </c>
      <c r="B23" s="5">
        <f>IF($B$18&lt;$B$7,"not valid",IRR(Q41:Q63,-0.1))</f>
        <v/>
      </c>
      <c r="C23" t="inlineStr">
        <is>
          <t>see row 23 (primary)</t>
        </is>
      </c>
    </row>
    <row r="24">
      <c r="A24" t="inlineStr">
        <is>
          <t>Break-even capex, pre-tax, NPV = 0 (THB bn)</t>
        </is>
      </c>
      <c r="B24" s="4">
        <f>B15*(1-B5)*B27/(B16*B27+B28/B9)</f>
        <v/>
      </c>
      <c r="C24" s="4">
        <f>B24</f>
        <v/>
      </c>
    </row>
    <row r="25">
      <c r="A25" t="inlineStr">
        <is>
          <t>Break-even attendance, pre-tax, NPV = 0 (million visits a year)</t>
        </is>
      </c>
      <c r="B25" s="4">
        <f>B10-B21/((1-B5)*B13/1000*(1-B11)*B27)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2">
      <c r="A32" t="inlineStr">
        <is>
          <t>Tax validity guard: after-tax outputs are shown only when tax depreciation covers the operating life</t>
        </is>
      </c>
      <c r="B32">
        <f>IF(B18&lt;B7,"CHECK: tax depreciation ends before operations; after-tax outputs are not valid","OK: tax depreciation covers the operating life")</f>
        <v/>
      </c>
      <c r="C32">
        <f>IF(C18&lt;C7,"CHECK: tax depreciation ends before operations; after-tax outputs are not valid","OK: tax depreciation covers the operating life")</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NPV in columns G and H; after-tax NPV in columns K and M, exact because annual taxable income is constant across operating years in each case (columns J and L).</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c r="I67" s="6" t="inlineStr">
        <is>
          <t>Replacement share per operating year</t>
        </is>
      </c>
      <c r="J67" s="6" t="inlineStr">
        <is>
          <t>Primary taxable income (THB bn a year)</t>
        </is>
      </c>
      <c r="K67" s="6" t="inlineStr">
        <is>
          <t>Primary NPV, after tax (THB bn)</t>
        </is>
      </c>
      <c r="L67" s="6" t="inlineStr">
        <is>
          <t>Legacy taxable income (THB bn a year)</t>
        </is>
      </c>
      <c r="M67" s="6" t="inlineStr">
        <is>
          <t>Legacy NPV, after tax (THB bn)</t>
        </is>
      </c>
    </row>
    <row r="68">
      <c r="A68" t="inlineStr">
        <is>
          <t>base</t>
        </is>
      </c>
      <c r="B68" t="n">
        <v>1</v>
      </c>
      <c r="C68" t="n">
        <v>1</v>
      </c>
      <c r="D68" t="n">
        <v>1</v>
      </c>
      <c r="E68" t="n">
        <v>0</v>
      </c>
      <c r="F68" s="3">
        <f>SUMPRODUCT($B$41:$B$63*($A$41:$A$63&gt;=$B$8+E68)*($A$41:$A$63&lt;$B$8+E68+$B$7))</f>
        <v/>
      </c>
      <c r="G68" s="4">
        <f>(D68-C68*$B$5)*$B$15*F68-B68*$B$28-I68*B68*$B$9*F68</f>
        <v/>
      </c>
      <c r="H68" s="4">
        <f>(D68-C68*$B$5)*$C$15*F68-B68*($C$9/$B$9)*$B$28-I68*B68*$C$9*F68</f>
        <v/>
      </c>
      <c r="I68">
        <f>$B$16</f>
        <v/>
      </c>
      <c r="J68" s="4">
        <f>D68*$B$15-C68*$B$5*$B$15-B68*$B$9/$B$18</f>
        <v/>
      </c>
      <c r="K68" s="4">
        <f>IF($B$18&lt;$B$7,"not valid",G68-$B$17*MAX(0,J68)*F68)</f>
        <v/>
      </c>
      <c r="L68" s="4">
        <f>D68*$C$15-C68*$B$5*$C$15-B68*$C$9/$C$18</f>
        <v/>
      </c>
      <c r="M68" s="4">
        <f>IF($C$18&lt;$C$7,"not valid",H68-$B$17*MAX(0,L68)*F68)</f>
        <v/>
      </c>
    </row>
    <row r="69">
      <c r="A69" t="inlineStr">
        <is>
          <t>construction cost up 5 percent</t>
        </is>
      </c>
      <c r="B69" t="n">
        <v>1.05</v>
      </c>
      <c r="C69" t="n">
        <v>1</v>
      </c>
      <c r="D69" t="n">
        <v>1</v>
      </c>
      <c r="E69" t="n">
        <v>0</v>
      </c>
      <c r="F69" s="3">
        <f>SUMPRODUCT($B$41:$B$63*($A$41:$A$63&gt;=$B$8+E69)*($A$41:$A$63&lt;$B$8+E69+$B$7))</f>
        <v/>
      </c>
      <c r="G69" s="4">
        <f>(D69-C69*$B$5)*$B$15*F69-B69*$B$28-I69*B69*$B$9*F69</f>
        <v/>
      </c>
      <c r="H69" s="4">
        <f>(D69-C69*$B$5)*$C$15*F69-B69*($C$9/$B$9)*$B$28-I69*B69*$C$9*F69</f>
        <v/>
      </c>
      <c r="I69">
        <f>$B$16</f>
        <v/>
      </c>
      <c r="J69" s="4">
        <f>D69*$B$15-C69*$B$5*$B$15-B69*$B$9/$B$18</f>
        <v/>
      </c>
      <c r="K69" s="4">
        <f>IF($B$18&lt;$B$7,"not valid",G69-$B$17*MAX(0,J69)*F69)</f>
        <v/>
      </c>
      <c r="L69" s="4">
        <f>D69*$C$15-C69*$B$5*$C$15-B69*$C$9/$C$18</f>
        <v/>
      </c>
      <c r="M69" s="4">
        <f>IF($C$18&lt;$C$7,"not valid",H69-$B$17*MAX(0,L69)*F69)</f>
        <v/>
      </c>
    </row>
    <row r="70">
      <c r="A70" t="inlineStr">
        <is>
          <t>construction cost down 5 percent</t>
        </is>
      </c>
      <c r="B70" t="n">
        <v>0.95</v>
      </c>
      <c r="C70" t="n">
        <v>1</v>
      </c>
      <c r="D70" t="n">
        <v>1</v>
      </c>
      <c r="E70" t="n">
        <v>0</v>
      </c>
      <c r="F70" s="3">
        <f>SUMPRODUCT($B$41:$B$63*($A$41:$A$63&gt;=$B$8+E70)*($A$41:$A$63&lt;$B$8+E70+$B$7))</f>
        <v/>
      </c>
      <c r="G70" s="4">
        <f>(D70-C70*$B$5)*$B$15*F70-B70*$B$28-I70*B70*$B$9*F70</f>
        <v/>
      </c>
      <c r="H70" s="4">
        <f>(D70-C70*$B$5)*$C$15*F70-B70*($C$9/$B$9)*$B$28-I70*B70*$C$9*F70</f>
        <v/>
      </c>
      <c r="I70">
        <f>$B$16</f>
        <v/>
      </c>
      <c r="J70" s="4">
        <f>D70*$B$15-C70*$B$5*$B$15-B70*$B$9/$B$18</f>
        <v/>
      </c>
      <c r="K70" s="4">
        <f>IF($B$18&lt;$B$7,"not valid",G70-$B$17*MAX(0,J70)*F70)</f>
        <v/>
      </c>
      <c r="L70" s="4">
        <f>D70*$C$15-C70*$B$5*$C$15-B70*$C$9/$C$18</f>
        <v/>
      </c>
      <c r="M70" s="4">
        <f>IF($C$18&lt;$C$7,"not valid",H70-$B$17*MAX(0,L70)*F70)</f>
        <v/>
      </c>
    </row>
    <row r="71">
      <c r="A71" t="inlineStr">
        <is>
          <t>construction cost up 10 percent</t>
        </is>
      </c>
      <c r="B71" t="n">
        <v>1.1</v>
      </c>
      <c r="C71" t="n">
        <v>1</v>
      </c>
      <c r="D71" t="n">
        <v>1</v>
      </c>
      <c r="E71" t="n">
        <v>0</v>
      </c>
      <c r="F71" s="3">
        <f>SUMPRODUCT($B$41:$B$63*($A$41:$A$63&gt;=$B$8+E71)*($A$41:$A$63&lt;$B$8+E71+$B$7))</f>
        <v/>
      </c>
      <c r="G71" s="4">
        <f>(D71-C71*$B$5)*$B$15*F71-B71*$B$28-I71*B71*$B$9*F71</f>
        <v/>
      </c>
      <c r="H71" s="4">
        <f>(D71-C71*$B$5)*$C$15*F71-B71*($C$9/$B$9)*$B$28-I71*B71*$C$9*F71</f>
        <v/>
      </c>
      <c r="I71">
        <f>$B$16</f>
        <v/>
      </c>
      <c r="J71" s="4">
        <f>D71*$B$15-C71*$B$5*$B$15-B71*$B$9/$B$18</f>
        <v/>
      </c>
      <c r="K71" s="4">
        <f>IF($B$18&lt;$B$7,"not valid",G71-$B$17*MAX(0,J71)*F71)</f>
        <v/>
      </c>
      <c r="L71" s="4">
        <f>D71*$C$15-C71*$B$5*$C$15-B71*$C$9/$C$18</f>
        <v/>
      </c>
      <c r="M71" s="4">
        <f>IF($C$18&lt;$C$7,"not valid",H71-$B$17*MAX(0,L71)*F71)</f>
        <v/>
      </c>
    </row>
    <row r="72">
      <c r="A72" t="inlineStr">
        <is>
          <t>construction cost down 10 percent</t>
        </is>
      </c>
      <c r="B72" t="n">
        <v>0.9</v>
      </c>
      <c r="C72" t="n">
        <v>1</v>
      </c>
      <c r="D72" t="n">
        <v>1</v>
      </c>
      <c r="E72" t="n">
        <v>0</v>
      </c>
      <c r="F72" s="3">
        <f>SUMPRODUCT($B$41:$B$63*($A$41:$A$63&gt;=$B$8+E72)*($A$41:$A$63&lt;$B$8+E72+$B$7))</f>
        <v/>
      </c>
      <c r="G72" s="4">
        <f>(D72-C72*$B$5)*$B$15*F72-B72*$B$28-I72*B72*$B$9*F72</f>
        <v/>
      </c>
      <c r="H72" s="4">
        <f>(D72-C72*$B$5)*$C$15*F72-B72*($C$9/$B$9)*$B$28-I72*B72*$C$9*F72</f>
        <v/>
      </c>
      <c r="I72">
        <f>$B$16</f>
        <v/>
      </c>
      <c r="J72" s="4">
        <f>D72*$B$15-C72*$B$5*$B$15-B72*$B$9/$B$18</f>
        <v/>
      </c>
      <c r="K72" s="4">
        <f>IF($B$18&lt;$B$7,"not valid",G72-$B$17*MAX(0,J72)*F72)</f>
        <v/>
      </c>
      <c r="L72" s="4">
        <f>D72*$C$15-C72*$B$5*$C$15-B72*$C$9/$C$18</f>
        <v/>
      </c>
      <c r="M72" s="4">
        <f>IF($C$18&lt;$C$7,"not valid",H72-$B$17*MAX(0,L72)*F72)</f>
        <v/>
      </c>
    </row>
    <row r="73">
      <c r="A73" t="inlineStr">
        <is>
          <t>construction cost up 20 percent</t>
        </is>
      </c>
      <c r="B73" t="n">
        <v>1.2</v>
      </c>
      <c r="C73" t="n">
        <v>1</v>
      </c>
      <c r="D73" t="n">
        <v>1</v>
      </c>
      <c r="E73" t="n">
        <v>0</v>
      </c>
      <c r="F73" s="3">
        <f>SUMPRODUCT($B$41:$B$63*($A$41:$A$63&gt;=$B$8+E73)*($A$41:$A$63&lt;$B$8+E73+$B$7))</f>
        <v/>
      </c>
      <c r="G73" s="4">
        <f>(D73-C73*$B$5)*$B$15*F73-B73*$B$28-I73*B73*$B$9*F73</f>
        <v/>
      </c>
      <c r="H73" s="4">
        <f>(D73-C73*$B$5)*$C$15*F73-B73*($C$9/$B$9)*$B$28-I73*B73*$C$9*F73</f>
        <v/>
      </c>
      <c r="I73">
        <f>$B$16</f>
        <v/>
      </c>
      <c r="J73" s="4">
        <f>D73*$B$15-C73*$B$5*$B$15-B73*$B$9/$B$18</f>
        <v/>
      </c>
      <c r="K73" s="4">
        <f>IF($B$18&lt;$B$7,"not valid",G73-$B$17*MAX(0,J73)*F73)</f>
        <v/>
      </c>
      <c r="L73" s="4">
        <f>D73*$C$15-C73*$B$5*$C$15-B73*$C$9/$C$18</f>
        <v/>
      </c>
      <c r="M73" s="4">
        <f>IF($C$18&lt;$C$7,"not valid",H73-$B$17*MAX(0,L73)*F73)</f>
        <v/>
      </c>
    </row>
    <row r="74">
      <c r="A74" t="inlineStr">
        <is>
          <t>construction cost down 20 percent</t>
        </is>
      </c>
      <c r="B74" t="n">
        <v>0.8</v>
      </c>
      <c r="C74" t="n">
        <v>1</v>
      </c>
      <c r="D74" t="n">
        <v>1</v>
      </c>
      <c r="E74" t="n">
        <v>0</v>
      </c>
      <c r="F74" s="3">
        <f>SUMPRODUCT($B$41:$B$63*($A$41:$A$63&gt;=$B$8+E74)*($A$41:$A$63&lt;$B$8+E74+$B$7))</f>
        <v/>
      </c>
      <c r="G74" s="4">
        <f>(D74-C74*$B$5)*$B$15*F74-B74*$B$28-I74*B74*$B$9*F74</f>
        <v/>
      </c>
      <c r="H74" s="4">
        <f>(D74-C74*$B$5)*$C$15*F74-B74*($C$9/$B$9)*$B$28-I74*B74*$C$9*F74</f>
        <v/>
      </c>
      <c r="I74">
        <f>$B$16</f>
        <v/>
      </c>
      <c r="J74" s="4">
        <f>D74*$B$15-C74*$B$5*$B$15-B74*$B$9/$B$18</f>
        <v/>
      </c>
      <c r="K74" s="4">
        <f>IF($B$18&lt;$B$7,"not valid",G74-$B$17*MAX(0,J74)*F74)</f>
        <v/>
      </c>
      <c r="L74" s="4">
        <f>D74*$C$15-C74*$B$5*$C$15-B74*$C$9/$C$18</f>
        <v/>
      </c>
      <c r="M74" s="4">
        <f>IF($C$18&lt;$C$7,"not valid",H74-$B$17*MAX(0,L74)*F74)</f>
        <v/>
      </c>
    </row>
    <row r="75">
      <c r="A75" t="inlineStr">
        <is>
          <t>operating and maintenance cost up 5 percent</t>
        </is>
      </c>
      <c r="B75" t="n">
        <v>1</v>
      </c>
      <c r="C75" t="n">
        <v>1.05</v>
      </c>
      <c r="D75" t="n">
        <v>1</v>
      </c>
      <c r="E75" t="n">
        <v>0</v>
      </c>
      <c r="F75" s="3">
        <f>SUMPRODUCT($B$41:$B$63*($A$41:$A$63&gt;=$B$8+E75)*($A$41:$A$63&lt;$B$8+E75+$B$7))</f>
        <v/>
      </c>
      <c r="G75" s="4">
        <f>(D75-C75*$B$5)*$B$15*F75-B75*$B$28-I75*B75*$B$9*F75</f>
        <v/>
      </c>
      <c r="H75" s="4">
        <f>(D75-C75*$B$5)*$C$15*F75-B75*($C$9/$B$9)*$B$28-I75*B75*$C$9*F75</f>
        <v/>
      </c>
      <c r="I75">
        <f>$B$16</f>
        <v/>
      </c>
      <c r="J75" s="4">
        <f>D75*$B$15-C75*$B$5*$B$15-B75*$B$9/$B$18</f>
        <v/>
      </c>
      <c r="K75" s="4">
        <f>IF($B$18&lt;$B$7,"not valid",G75-$B$17*MAX(0,J75)*F75)</f>
        <v/>
      </c>
      <c r="L75" s="4">
        <f>D75*$C$15-C75*$B$5*$C$15-B75*$C$9/$C$18</f>
        <v/>
      </c>
      <c r="M75" s="4">
        <f>IF($C$18&lt;$C$7,"not valid",H75-$B$17*MAX(0,L75)*F75)</f>
        <v/>
      </c>
    </row>
    <row r="76">
      <c r="A76" t="inlineStr">
        <is>
          <t>operating and maintenance cost down 5 percent</t>
        </is>
      </c>
      <c r="B76" t="n">
        <v>1</v>
      </c>
      <c r="C76" t="n">
        <v>0.95</v>
      </c>
      <c r="D76" t="n">
        <v>1</v>
      </c>
      <c r="E76" t="n">
        <v>0</v>
      </c>
      <c r="F76" s="3">
        <f>SUMPRODUCT($B$41:$B$63*($A$41:$A$63&gt;=$B$8+E76)*($A$41:$A$63&lt;$B$8+E76+$B$7))</f>
        <v/>
      </c>
      <c r="G76" s="4">
        <f>(D76-C76*$B$5)*$B$15*F76-B76*$B$28-I76*B76*$B$9*F76</f>
        <v/>
      </c>
      <c r="H76" s="4">
        <f>(D76-C76*$B$5)*$C$15*F76-B76*($C$9/$B$9)*$B$28-I76*B76*$C$9*F76</f>
        <v/>
      </c>
      <c r="I76">
        <f>$B$16</f>
        <v/>
      </c>
      <c r="J76" s="4">
        <f>D76*$B$15-C76*$B$5*$B$15-B76*$B$9/$B$18</f>
        <v/>
      </c>
      <c r="K76" s="4">
        <f>IF($B$18&lt;$B$7,"not valid",G76-$B$17*MAX(0,J76)*F76)</f>
        <v/>
      </c>
      <c r="L76" s="4">
        <f>D76*$C$15-C76*$B$5*$C$15-B76*$C$9/$C$18</f>
        <v/>
      </c>
      <c r="M76" s="4">
        <f>IF($C$18&lt;$C$7,"not valid",H76-$B$17*MAX(0,L76)*F76)</f>
        <v/>
      </c>
    </row>
    <row r="77">
      <c r="A77" t="inlineStr">
        <is>
          <t>operating and maintenance cost up 10 percent</t>
        </is>
      </c>
      <c r="B77" t="n">
        <v>1</v>
      </c>
      <c r="C77" t="n">
        <v>1.1</v>
      </c>
      <c r="D77" t="n">
        <v>1</v>
      </c>
      <c r="E77" t="n">
        <v>0</v>
      </c>
      <c r="F77" s="3">
        <f>SUMPRODUCT($B$41:$B$63*($A$41:$A$63&gt;=$B$8+E77)*($A$41:$A$63&lt;$B$8+E77+$B$7))</f>
        <v/>
      </c>
      <c r="G77" s="4">
        <f>(D77-C77*$B$5)*$B$15*F77-B77*$B$28-I77*B77*$B$9*F77</f>
        <v/>
      </c>
      <c r="H77" s="4">
        <f>(D77-C77*$B$5)*$C$15*F77-B77*($C$9/$B$9)*$B$28-I77*B77*$C$9*F77</f>
        <v/>
      </c>
      <c r="I77">
        <f>$B$16</f>
        <v/>
      </c>
      <c r="J77" s="4">
        <f>D77*$B$15-C77*$B$5*$B$15-B77*$B$9/$B$18</f>
        <v/>
      </c>
      <c r="K77" s="4">
        <f>IF($B$18&lt;$B$7,"not valid",G77-$B$17*MAX(0,J77)*F77)</f>
        <v/>
      </c>
      <c r="L77" s="4">
        <f>D77*$C$15-C77*$B$5*$C$15-B77*$C$9/$C$18</f>
        <v/>
      </c>
      <c r="M77" s="4">
        <f>IF($C$18&lt;$C$7,"not valid",H77-$B$17*MAX(0,L77)*F77)</f>
        <v/>
      </c>
    </row>
    <row r="78">
      <c r="A78" t="inlineStr">
        <is>
          <t>operating and maintenance cost down 10 percent</t>
        </is>
      </c>
      <c r="B78" t="n">
        <v>1</v>
      </c>
      <c r="C78" t="n">
        <v>0.9</v>
      </c>
      <c r="D78" t="n">
        <v>1</v>
      </c>
      <c r="E78" t="n">
        <v>0</v>
      </c>
      <c r="F78" s="3">
        <f>SUMPRODUCT($B$41:$B$63*($A$41:$A$63&gt;=$B$8+E78)*($A$41:$A$63&lt;$B$8+E78+$B$7))</f>
        <v/>
      </c>
      <c r="G78" s="4">
        <f>(D78-C78*$B$5)*$B$15*F78-B78*$B$28-I78*B78*$B$9*F78</f>
        <v/>
      </c>
      <c r="H78" s="4">
        <f>(D78-C78*$B$5)*$C$15*F78-B78*($C$9/$B$9)*$B$28-I78*B78*$C$9*F78</f>
        <v/>
      </c>
      <c r="I78">
        <f>$B$16</f>
        <v/>
      </c>
      <c r="J78" s="4">
        <f>D78*$B$15-C78*$B$5*$B$15-B78*$B$9/$B$18</f>
        <v/>
      </c>
      <c r="K78" s="4">
        <f>IF($B$18&lt;$B$7,"not valid",G78-$B$17*MAX(0,J78)*F78)</f>
        <v/>
      </c>
      <c r="L78" s="4">
        <f>D78*$C$15-C78*$B$5*$C$15-B78*$C$9/$C$18</f>
        <v/>
      </c>
      <c r="M78" s="4">
        <f>IF($C$18&lt;$C$7,"not valid",H78-$B$17*MAX(0,L78)*F78)</f>
        <v/>
      </c>
    </row>
    <row r="79">
      <c r="A79" t="inlineStr">
        <is>
          <t>operating and maintenance cost up 20 percent</t>
        </is>
      </c>
      <c r="B79" t="n">
        <v>1</v>
      </c>
      <c r="C79" t="n">
        <v>1.2</v>
      </c>
      <c r="D79" t="n">
        <v>1</v>
      </c>
      <c r="E79" t="n">
        <v>0</v>
      </c>
      <c r="F79" s="3">
        <f>SUMPRODUCT($B$41:$B$63*($A$41:$A$63&gt;=$B$8+E79)*($A$41:$A$63&lt;$B$8+E79+$B$7))</f>
        <v/>
      </c>
      <c r="G79" s="4">
        <f>(D79-C79*$B$5)*$B$15*F79-B79*$B$28-I79*B79*$B$9*F79</f>
        <v/>
      </c>
      <c r="H79" s="4">
        <f>(D79-C79*$B$5)*$C$15*F79-B79*($C$9/$B$9)*$B$28-I79*B79*$C$9*F79</f>
        <v/>
      </c>
      <c r="I79">
        <f>$B$16</f>
        <v/>
      </c>
      <c r="J79" s="4">
        <f>D79*$B$15-C79*$B$5*$B$15-B79*$B$9/$B$18</f>
        <v/>
      </c>
      <c r="K79" s="4">
        <f>IF($B$18&lt;$B$7,"not valid",G79-$B$17*MAX(0,J79)*F79)</f>
        <v/>
      </c>
      <c r="L79" s="4">
        <f>D79*$C$15-C79*$B$5*$C$15-B79*$C$9/$C$18</f>
        <v/>
      </c>
      <c r="M79" s="4">
        <f>IF($C$18&lt;$C$7,"not valid",H79-$B$17*MAX(0,L79)*F79)</f>
        <v/>
      </c>
    </row>
    <row r="80">
      <c r="A80" t="inlineStr">
        <is>
          <t>operating and maintenance cost down 20 percent</t>
        </is>
      </c>
      <c r="B80" t="n">
        <v>1</v>
      </c>
      <c r="C80" t="n">
        <v>0.8</v>
      </c>
      <c r="D80" t="n">
        <v>1</v>
      </c>
      <c r="E80" t="n">
        <v>0</v>
      </c>
      <c r="F80" s="3">
        <f>SUMPRODUCT($B$41:$B$63*($A$41:$A$63&gt;=$B$8+E80)*($A$41:$A$63&lt;$B$8+E80+$B$7))</f>
        <v/>
      </c>
      <c r="G80" s="4">
        <f>(D80-C80*$B$5)*$B$15*F80-B80*$B$28-I80*B80*$B$9*F80</f>
        <v/>
      </c>
      <c r="H80" s="4">
        <f>(D80-C80*$B$5)*$C$15*F80-B80*($C$9/$B$9)*$B$28-I80*B80*$C$9*F80</f>
        <v/>
      </c>
      <c r="I80">
        <f>$B$16</f>
        <v/>
      </c>
      <c r="J80" s="4">
        <f>D80*$B$15-C80*$B$5*$B$15-B80*$B$9/$B$18</f>
        <v/>
      </c>
      <c r="K80" s="4">
        <f>IF($B$18&lt;$B$7,"not valid",G80-$B$17*MAX(0,J80)*F80)</f>
        <v/>
      </c>
      <c r="L80" s="4">
        <f>D80*$C$15-C80*$B$5*$C$15-B80*$C$9/$C$18</f>
        <v/>
      </c>
      <c r="M80" s="4">
        <f>IF($C$18&lt;$C$7,"not valid",H80-$B$17*MAX(0,L80)*F80)</f>
        <v/>
      </c>
    </row>
    <row r="81">
      <c r="A81" t="inlineStr">
        <is>
          <t>revenue up 5 percent</t>
        </is>
      </c>
      <c r="B81" t="n">
        <v>1</v>
      </c>
      <c r="C81" t="n">
        <v>1</v>
      </c>
      <c r="D81" t="n">
        <v>1.05</v>
      </c>
      <c r="E81" t="n">
        <v>0</v>
      </c>
      <c r="F81" s="3">
        <f>SUMPRODUCT($B$41:$B$63*($A$41:$A$63&gt;=$B$8+E81)*($A$41:$A$63&lt;$B$8+E81+$B$7))</f>
        <v/>
      </c>
      <c r="G81" s="4">
        <f>(D81-C81*$B$5)*$B$15*F81-B81*$B$28-I81*B81*$B$9*F81</f>
        <v/>
      </c>
      <c r="H81" s="4">
        <f>(D81-C81*$B$5)*$C$15*F81-B81*($C$9/$B$9)*$B$28-I81*B81*$C$9*F81</f>
        <v/>
      </c>
      <c r="I81">
        <f>$B$16</f>
        <v/>
      </c>
      <c r="J81" s="4">
        <f>D81*$B$15-C81*$B$5*$B$15-B81*$B$9/$B$18</f>
        <v/>
      </c>
      <c r="K81" s="4">
        <f>IF($B$18&lt;$B$7,"not valid",G81-$B$17*MAX(0,J81)*F81)</f>
        <v/>
      </c>
      <c r="L81" s="4">
        <f>D81*$C$15-C81*$B$5*$C$15-B81*$C$9/$C$18</f>
        <v/>
      </c>
      <c r="M81" s="4">
        <f>IF($C$18&lt;$C$7,"not valid",H81-$B$17*MAX(0,L81)*F81)</f>
        <v/>
      </c>
    </row>
    <row r="82">
      <c r="A82" t="inlineStr">
        <is>
          <t>revenue down 5 percent</t>
        </is>
      </c>
      <c r="B82" t="n">
        <v>1</v>
      </c>
      <c r="C82" t="n">
        <v>1</v>
      </c>
      <c r="D82" t="n">
        <v>0.95</v>
      </c>
      <c r="E82" t="n">
        <v>0</v>
      </c>
      <c r="F82" s="3">
        <f>SUMPRODUCT($B$41:$B$63*($A$41:$A$63&gt;=$B$8+E82)*($A$41:$A$63&lt;$B$8+E82+$B$7))</f>
        <v/>
      </c>
      <c r="G82" s="4">
        <f>(D82-C82*$B$5)*$B$15*F82-B82*$B$28-I82*B82*$B$9*F82</f>
        <v/>
      </c>
      <c r="H82" s="4">
        <f>(D82-C82*$B$5)*$C$15*F82-B82*($C$9/$B$9)*$B$28-I82*B82*$C$9*F82</f>
        <v/>
      </c>
      <c r="I82">
        <f>$B$16</f>
        <v/>
      </c>
      <c r="J82" s="4">
        <f>D82*$B$15-C82*$B$5*$B$15-B82*$B$9/$B$18</f>
        <v/>
      </c>
      <c r="K82" s="4">
        <f>IF($B$18&lt;$B$7,"not valid",G82-$B$17*MAX(0,J82)*F82)</f>
        <v/>
      </c>
      <c r="L82" s="4">
        <f>D82*$C$15-C82*$B$5*$C$15-B82*$C$9/$C$18</f>
        <v/>
      </c>
      <c r="M82" s="4">
        <f>IF($C$18&lt;$C$7,"not valid",H82-$B$17*MAX(0,L82)*F82)</f>
        <v/>
      </c>
    </row>
    <row r="83">
      <c r="A83" t="inlineStr">
        <is>
          <t>revenue up 10 percent</t>
        </is>
      </c>
      <c r="B83" t="n">
        <v>1</v>
      </c>
      <c r="C83" t="n">
        <v>1</v>
      </c>
      <c r="D83" t="n">
        <v>1.1</v>
      </c>
      <c r="E83" t="n">
        <v>0</v>
      </c>
      <c r="F83" s="3">
        <f>SUMPRODUCT($B$41:$B$63*($A$41:$A$63&gt;=$B$8+E83)*($A$41:$A$63&lt;$B$8+E83+$B$7))</f>
        <v/>
      </c>
      <c r="G83" s="4">
        <f>(D83-C83*$B$5)*$B$15*F83-B83*$B$28-I83*B83*$B$9*F83</f>
        <v/>
      </c>
      <c r="H83" s="4">
        <f>(D83-C83*$B$5)*$C$15*F83-B83*($C$9/$B$9)*$B$28-I83*B83*$C$9*F83</f>
        <v/>
      </c>
      <c r="I83">
        <f>$B$16</f>
        <v/>
      </c>
      <c r="J83" s="4">
        <f>D83*$B$15-C83*$B$5*$B$15-B83*$B$9/$B$18</f>
        <v/>
      </c>
      <c r="K83" s="4">
        <f>IF($B$18&lt;$B$7,"not valid",G83-$B$17*MAX(0,J83)*F83)</f>
        <v/>
      </c>
      <c r="L83" s="4">
        <f>D83*$C$15-C83*$B$5*$C$15-B83*$C$9/$C$18</f>
        <v/>
      </c>
      <c r="M83" s="4">
        <f>IF($C$18&lt;$C$7,"not valid",H83-$B$17*MAX(0,L83)*F83)</f>
        <v/>
      </c>
    </row>
    <row r="84">
      <c r="A84" t="inlineStr">
        <is>
          <t>revenue down 10 percent</t>
        </is>
      </c>
      <c r="B84" t="n">
        <v>1</v>
      </c>
      <c r="C84" t="n">
        <v>1</v>
      </c>
      <c r="D84" t="n">
        <v>0.9</v>
      </c>
      <c r="E84" t="n">
        <v>0</v>
      </c>
      <c r="F84" s="3">
        <f>SUMPRODUCT($B$41:$B$63*($A$41:$A$63&gt;=$B$8+E84)*($A$41:$A$63&lt;$B$8+E84+$B$7))</f>
        <v/>
      </c>
      <c r="G84" s="4">
        <f>(D84-C84*$B$5)*$B$15*F84-B84*$B$28-I84*B84*$B$9*F84</f>
        <v/>
      </c>
      <c r="H84" s="4">
        <f>(D84-C84*$B$5)*$C$15*F84-B84*($C$9/$B$9)*$B$28-I84*B84*$C$9*F84</f>
        <v/>
      </c>
      <c r="I84">
        <f>$B$16</f>
        <v/>
      </c>
      <c r="J84" s="4">
        <f>D84*$B$15-C84*$B$5*$B$15-B84*$B$9/$B$18</f>
        <v/>
      </c>
      <c r="K84" s="4">
        <f>IF($B$18&lt;$B$7,"not valid",G84-$B$17*MAX(0,J84)*F84)</f>
        <v/>
      </c>
      <c r="L84" s="4">
        <f>D84*$C$15-C84*$B$5*$C$15-B84*$C$9/$C$18</f>
        <v/>
      </c>
      <c r="M84" s="4">
        <f>IF($C$18&lt;$C$7,"not valid",H84-$B$17*MAX(0,L84)*F84)</f>
        <v/>
      </c>
    </row>
    <row r="85">
      <c r="A85" t="inlineStr">
        <is>
          <t>revenue up 20 percent</t>
        </is>
      </c>
      <c r="B85" t="n">
        <v>1</v>
      </c>
      <c r="C85" t="n">
        <v>1</v>
      </c>
      <c r="D85" t="n">
        <v>1.2</v>
      </c>
      <c r="E85" t="n">
        <v>0</v>
      </c>
      <c r="F85" s="3">
        <f>SUMPRODUCT($B$41:$B$63*($A$41:$A$63&gt;=$B$8+E85)*($A$41:$A$63&lt;$B$8+E85+$B$7))</f>
        <v/>
      </c>
      <c r="G85" s="4">
        <f>(D85-C85*$B$5)*$B$15*F85-B85*$B$28-I85*B85*$B$9*F85</f>
        <v/>
      </c>
      <c r="H85" s="4">
        <f>(D85-C85*$B$5)*$C$15*F85-B85*($C$9/$B$9)*$B$28-I85*B85*$C$9*F85</f>
        <v/>
      </c>
      <c r="I85">
        <f>$B$16</f>
        <v/>
      </c>
      <c r="J85" s="4">
        <f>D85*$B$15-C85*$B$5*$B$15-B85*$B$9/$B$18</f>
        <v/>
      </c>
      <c r="K85" s="4">
        <f>IF($B$18&lt;$B$7,"not valid",G85-$B$17*MAX(0,J85)*F85)</f>
        <v/>
      </c>
      <c r="L85" s="4">
        <f>D85*$C$15-C85*$B$5*$C$15-B85*$C$9/$C$18</f>
        <v/>
      </c>
      <c r="M85" s="4">
        <f>IF($C$18&lt;$C$7,"not valid",H85-$B$17*MAX(0,L85)*F85)</f>
        <v/>
      </c>
    </row>
    <row r="86">
      <c r="A86" t="inlineStr">
        <is>
          <t>revenue down 20 percent</t>
        </is>
      </c>
      <c r="B86" t="n">
        <v>1</v>
      </c>
      <c r="C86" t="n">
        <v>1</v>
      </c>
      <c r="D86" t="n">
        <v>0.8</v>
      </c>
      <c r="E86" t="n">
        <v>0</v>
      </c>
      <c r="F86" s="3">
        <f>SUMPRODUCT($B$41:$B$63*($A$41:$A$63&gt;=$B$8+E86)*($A$41:$A$63&lt;$B$8+E86+$B$7))</f>
        <v/>
      </c>
      <c r="G86" s="4">
        <f>(D86-C86*$B$5)*$B$15*F86-B86*$B$28-I86*B86*$B$9*F86</f>
        <v/>
      </c>
      <c r="H86" s="4">
        <f>(D86-C86*$B$5)*$C$15*F86-B86*($C$9/$B$9)*$B$28-I86*B86*$C$9*F86</f>
        <v/>
      </c>
      <c r="I86">
        <f>$B$16</f>
        <v/>
      </c>
      <c r="J86" s="4">
        <f>D86*$B$15-C86*$B$5*$B$15-B86*$B$9/$B$18</f>
        <v/>
      </c>
      <c r="K86" s="4">
        <f>IF($B$18&lt;$B$7,"not valid",G86-$B$17*MAX(0,J86)*F86)</f>
        <v/>
      </c>
      <c r="L86" s="4">
        <f>D86*$C$15-C86*$B$5*$C$15-B86*$C$9/$C$18</f>
        <v/>
      </c>
      <c r="M86" s="4">
        <f>IF($C$18&lt;$C$7,"not valid",H86-$B$17*MAX(0,L86)*F86)</f>
        <v/>
      </c>
    </row>
    <row r="87">
      <c r="A87" t="inlineStr">
        <is>
          <t>two factors: construction cost up 5 percent and revenue down 5 percent</t>
        </is>
      </c>
      <c r="B87" t="n">
        <v>1.05</v>
      </c>
      <c r="C87" t="n">
        <v>1</v>
      </c>
      <c r="D87" t="n">
        <v>0.95</v>
      </c>
      <c r="E87" t="n">
        <v>0</v>
      </c>
      <c r="F87" s="3">
        <f>SUMPRODUCT($B$41:$B$63*($A$41:$A$63&gt;=$B$8+E87)*($A$41:$A$63&lt;$B$8+E87+$B$7))</f>
        <v/>
      </c>
      <c r="G87" s="4">
        <f>(D87-C87*$B$5)*$B$15*F87-B87*$B$28-I87*B87*$B$9*F87</f>
        <v/>
      </c>
      <c r="H87" s="4">
        <f>(D87-C87*$B$5)*$C$15*F87-B87*($C$9/$B$9)*$B$28-I87*B87*$C$9*F87</f>
        <v/>
      </c>
      <c r="I87">
        <f>$B$16</f>
        <v/>
      </c>
      <c r="J87" s="4">
        <f>D87*$B$15-C87*$B$5*$B$15-B87*$B$9/$B$18</f>
        <v/>
      </c>
      <c r="K87" s="4">
        <f>IF($B$18&lt;$B$7,"not valid",G87-$B$17*MAX(0,J87)*F87)</f>
        <v/>
      </c>
      <c r="L87" s="4">
        <f>D87*$C$15-C87*$B$5*$C$15-B87*$C$9/$C$18</f>
        <v/>
      </c>
      <c r="M87" s="4">
        <f>IF($C$18&lt;$C$7,"not valid",H87-$B$17*MAX(0,L87)*F87)</f>
        <v/>
      </c>
    </row>
    <row r="88">
      <c r="A88" t="inlineStr">
        <is>
          <t>two factors: construction cost down 5 percent and revenue up 5 percent</t>
        </is>
      </c>
      <c r="B88" t="n">
        <v>0.95</v>
      </c>
      <c r="C88" t="n">
        <v>1</v>
      </c>
      <c r="D88" t="n">
        <v>1.05</v>
      </c>
      <c r="E88" t="n">
        <v>0</v>
      </c>
      <c r="F88" s="3">
        <f>SUMPRODUCT($B$41:$B$63*($A$41:$A$63&gt;=$B$8+E88)*($A$41:$A$63&lt;$B$8+E88+$B$7))</f>
        <v/>
      </c>
      <c r="G88" s="4">
        <f>(D88-C88*$B$5)*$B$15*F88-B88*$B$28-I88*B88*$B$9*F88</f>
        <v/>
      </c>
      <c r="H88" s="4">
        <f>(D88-C88*$B$5)*$C$15*F88-B88*($C$9/$B$9)*$B$28-I88*B88*$C$9*F88</f>
        <v/>
      </c>
      <c r="I88">
        <f>$B$16</f>
        <v/>
      </c>
      <c r="J88" s="4">
        <f>D88*$B$15-C88*$B$5*$B$15-B88*$B$9/$B$18</f>
        <v/>
      </c>
      <c r="K88" s="4">
        <f>IF($B$18&lt;$B$7,"not valid",G88-$B$17*MAX(0,J88)*F88)</f>
        <v/>
      </c>
      <c r="L88" s="4">
        <f>D88*$C$15-C88*$B$5*$C$15-B88*$C$9/$C$18</f>
        <v/>
      </c>
      <c r="M88" s="4">
        <f>IF($C$18&lt;$C$7,"not valid",H88-$B$17*MAX(0,L88)*F88)</f>
        <v/>
      </c>
    </row>
    <row r="89">
      <c r="A89" t="inlineStr">
        <is>
          <t>two factors: construction cost up 10 percent and revenue down 10 percent</t>
        </is>
      </c>
      <c r="B89" t="n">
        <v>1.1</v>
      </c>
      <c r="C89" t="n">
        <v>1</v>
      </c>
      <c r="D89" t="n">
        <v>0.9</v>
      </c>
      <c r="E89" t="n">
        <v>0</v>
      </c>
      <c r="F89" s="3">
        <f>SUMPRODUCT($B$41:$B$63*($A$41:$A$63&gt;=$B$8+E89)*($A$41:$A$63&lt;$B$8+E89+$B$7))</f>
        <v/>
      </c>
      <c r="G89" s="4">
        <f>(D89-C89*$B$5)*$B$15*F89-B89*$B$28-I89*B89*$B$9*F89</f>
        <v/>
      </c>
      <c r="H89" s="4">
        <f>(D89-C89*$B$5)*$C$15*F89-B89*($C$9/$B$9)*$B$28-I89*B89*$C$9*F89</f>
        <v/>
      </c>
      <c r="I89">
        <f>$B$16</f>
        <v/>
      </c>
      <c r="J89" s="4">
        <f>D89*$B$15-C89*$B$5*$B$15-B89*$B$9/$B$18</f>
        <v/>
      </c>
      <c r="K89" s="4">
        <f>IF($B$18&lt;$B$7,"not valid",G89-$B$17*MAX(0,J89)*F89)</f>
        <v/>
      </c>
      <c r="L89" s="4">
        <f>D89*$C$15-C89*$B$5*$C$15-B89*$C$9/$C$18</f>
        <v/>
      </c>
      <c r="M89" s="4">
        <f>IF($C$18&lt;$C$7,"not valid",H89-$B$17*MAX(0,L89)*F89)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(D90-C90*$B$5)*$B$15*F90-B90*$B$28-I90*B90*$B$9*F90</f>
        <v/>
      </c>
      <c r="H90" s="4">
        <f>(D90-C90*$B$5)*$C$15*F90-B90*($C$9/$B$9)*$B$28-I90*B90*$C$9*F90</f>
        <v/>
      </c>
      <c r="I90">
        <f>$B$16</f>
        <v/>
      </c>
      <c r="J90" s="4">
        <f>D90*$B$15-C90*$B$5*$B$15-B90*$B$9/$B$18</f>
        <v/>
      </c>
      <c r="K90" s="4">
        <f>IF($B$18&lt;$B$7,"not valid",G90-$B$17*MAX(0,J90)*F90)</f>
        <v/>
      </c>
      <c r="L90" s="4">
        <f>D90*$C$15-C90*$B$5*$C$15-B90*$C$9/$C$18</f>
        <v/>
      </c>
      <c r="M90" s="4">
        <f>IF($C$18&lt;$C$7,"not valid",H90-$B$17*MAX(0,L90)*F90)</f>
        <v/>
      </c>
    </row>
    <row r="91">
      <c r="A91" t="inlineStr">
        <is>
          <t>two factors: construction cost up 20 percent and revenue down 20 percent</t>
        </is>
      </c>
      <c r="B91" t="n">
        <v>1.2</v>
      </c>
      <c r="C91" t="n">
        <v>1</v>
      </c>
      <c r="D91" t="n">
        <v>0.8</v>
      </c>
      <c r="E91" t="n">
        <v>0</v>
      </c>
      <c r="F91" s="3">
        <f>SUMPRODUCT($B$41:$B$63*($A$41:$A$63&gt;=$B$8+E91)*($A$41:$A$63&lt;$B$8+E91+$B$7))</f>
        <v/>
      </c>
      <c r="G91" s="4">
        <f>(D91-C91*$B$5)*$B$15*F91-B91*$B$28-I91*B91*$B$9*F91</f>
        <v/>
      </c>
      <c r="H91" s="4">
        <f>(D91-C91*$B$5)*$C$15*F91-B91*($C$9/$B$9)*$B$28-I91*B91*$C$9*F91</f>
        <v/>
      </c>
      <c r="I91">
        <f>$B$16</f>
        <v/>
      </c>
      <c r="J91" s="4">
        <f>D91*$B$15-C91*$B$5*$B$15-B91*$B$9/$B$18</f>
        <v/>
      </c>
      <c r="K91" s="4">
        <f>IF($B$18&lt;$B$7,"not valid",G91-$B$17*MAX(0,J91)*F91)</f>
        <v/>
      </c>
      <c r="L91" s="4">
        <f>D91*$C$15-C91*$B$5*$C$15-B91*$C$9/$C$18</f>
        <v/>
      </c>
      <c r="M91" s="4">
        <f>IF($C$18&lt;$C$7,"not valid",H91-$B$17*MAX(0,L91)*F91)</f>
        <v/>
      </c>
    </row>
    <row r="92">
      <c r="A92" t="inlineStr">
        <is>
          <t>two factors: construction cost down 20 percent and revenue up 20 percent</t>
        </is>
      </c>
      <c r="B92" t="n">
        <v>0.8</v>
      </c>
      <c r="C92" t="n">
        <v>1</v>
      </c>
      <c r="D92" t="n">
        <v>1.2</v>
      </c>
      <c r="E92" t="n">
        <v>0</v>
      </c>
      <c r="F92" s="3">
        <f>SUMPRODUCT($B$41:$B$63*($A$41:$A$63&gt;=$B$8+E92)*($A$41:$A$63&lt;$B$8+E92+$B$7))</f>
        <v/>
      </c>
      <c r="G92" s="4">
        <f>(D92-C92*$B$5)*$B$15*F92-B92*$B$28-I92*B92*$B$9*F92</f>
        <v/>
      </c>
      <c r="H92" s="4">
        <f>(D92-C92*$B$5)*$C$15*F92-B92*($C$9/$B$9)*$B$28-I92*B92*$C$9*F92</f>
        <v/>
      </c>
      <c r="I92">
        <f>$B$16</f>
        <v/>
      </c>
      <c r="J92" s="4">
        <f>D92*$B$15-C92*$B$5*$B$15-B92*$B$9/$B$18</f>
        <v/>
      </c>
      <c r="K92" s="4">
        <f>IF($B$18&lt;$B$7,"not valid",G92-$B$17*MAX(0,J92)*F92)</f>
        <v/>
      </c>
      <c r="L92" s="4">
        <f>D92*$C$15-C92*$B$5*$C$15-B92*$C$9/$C$18</f>
        <v/>
      </c>
      <c r="M92" s="4">
        <f>IF($C$18&lt;$C$7,"not valid",H92-$B$17*MAX(0,L92)*F92)</f>
        <v/>
      </c>
    </row>
    <row r="93">
      <c r="A93" t="inlineStr">
        <is>
          <t>one-year delay in opening</t>
        </is>
      </c>
      <c r="B93" t="n">
        <v>1</v>
      </c>
      <c r="C93" t="n">
        <v>1</v>
      </c>
      <c r="D93" t="n">
        <v>1</v>
      </c>
      <c r="E93" t="n">
        <v>1</v>
      </c>
      <c r="F93" s="3">
        <f>SUMPRODUCT($B$41:$B$63*($A$41:$A$63&gt;=$B$8+E93)*($A$41:$A$63&lt;$B$8+E93+$B$7))</f>
        <v/>
      </c>
      <c r="G93" s="4">
        <f>(D93-C93*$B$5)*$B$15*F93-B93*$B$28-I93*B93*$B$9*F93</f>
        <v/>
      </c>
      <c r="H93" s="4">
        <f>(D93-C93*$B$5)*$C$15*F93-B93*($C$9/$B$9)*$B$28-I93*B93*$C$9*F93</f>
        <v/>
      </c>
      <c r="I93">
        <f>$B$16</f>
        <v/>
      </c>
      <c r="J93" s="4">
        <f>D93*$B$15-C93*$B$5*$B$15-B93*$B$9/$B$18</f>
        <v/>
      </c>
      <c r="K93" s="4">
        <f>IF($B$18&lt;$B$7,"not valid",G93-$B$17*MAX(0,J93)*F93)</f>
        <v/>
      </c>
      <c r="L93" s="4">
        <f>D93*$C$15-C93*$B$5*$C$15-B93*$C$9/$C$18</f>
        <v/>
      </c>
      <c r="M93" s="4">
        <f>IF($C$18&lt;$C$7,"not valid",H93-$B$17*MAX(0,L93)*F93)</f>
        <v/>
      </c>
    </row>
    <row r="94">
      <c r="A94" t="inlineStr">
        <is>
          <t>replacement capex at HK depreciation proxy (sensitivity, not sourced)</t>
        </is>
      </c>
      <c r="B94" t="n">
        <v>1</v>
      </c>
      <c r="C94" t="n">
        <v>1</v>
      </c>
      <c r="D94" t="n">
        <v>1</v>
      </c>
      <c r="E94" t="n">
        <v>0</v>
      </c>
      <c r="F94" s="3">
        <f>SUMPRODUCT($B$41:$B$63*($A$41:$A$63&gt;=$B$8+E94)*($A$41:$A$63&lt;$B$8+E94+$B$7))</f>
        <v/>
      </c>
      <c r="G94" s="4">
        <f>(D94-C94*$B$5)*$B$15*F94-B94*$B$28-I94*B94*$B$9*F94</f>
        <v/>
      </c>
      <c r="H94" s="4">
        <f>(D94-C94*$B$5)*$C$15*F94-B94*($C$9/$B$9)*$B$28-I94*B94*$C$9*F94</f>
        <v/>
      </c>
      <c r="I94">
        <f>Inputs!$C$168</f>
        <v/>
      </c>
      <c r="J94" s="4">
        <f>D94*$B$15-C94*$B$5*$B$15-B94*$B$9/$B$18</f>
        <v/>
      </c>
      <c r="K94" s="4">
        <f>IF($B$18&lt;$B$7,"not valid",G94-$B$17*MAX(0,J94)*F94)</f>
        <v/>
      </c>
      <c r="L94" s="4">
        <f>D94*$C$15-C94*$B$5*$C$15-B94*$C$9/$C$18</f>
        <v/>
      </c>
      <c r="M94" s="4">
        <f>IF($C$18&lt;$C$7,"not valid",H94-$B$17*MAX(0,L94)*F94)</f>
        <v/>
      </c>
    </row>
    <row r="96">
      <c r="A96" t="inlineStr">
        <is>
          <t>Check: base pre-tax NPV less B21 (about 0)</t>
        </is>
      </c>
      <c r="G96" s="4">
        <f>G68-B21</f>
        <v/>
      </c>
    </row>
    <row r="97">
      <c r="A97" t="inlineStr">
        <is>
          <t>Check: base after-tax NPV less B22 (about 0)</t>
        </is>
      </c>
      <c r="K97" s="4">
        <f>IF(ISNUMBER(B22),K68-B22,"n/a")</f>
        <v/>
      </c>
    </row>
    <row r="98">
      <c r="A98" t="inlineStr">
        <is>
          <t>Tax limitations, kept visible: (1) the ledger uses cumulative taxable income with unlimited loss carry-forward; the Thai rule expires losses after five years, so an expiry-aware schedule can give a different tax; (2) replacement capex is not deductible for tax (conservative); (3) tax depreciation is assumed to run over the operating life. Row 32 flags a breach of (3), and the after-tax outputs then read not valid.</t>
        </is>
      </c>
    </row>
    <row r="101">
      <c r="A101" s="2" t="inlineStr">
        <is>
          <t>Scenario table (formula-based, pre-tax, closed form). Each row changes only the stated inputs. Row 103 must equal B21.</t>
        </is>
      </c>
    </row>
    <row r="102">
      <c r="A102" s="6" t="inlineStr">
        <is>
          <t>Scenario</t>
        </is>
      </c>
      <c r="B102" s="6" t="inlineStr">
        <is>
          <t>WACC</t>
        </is>
      </c>
      <c r="C102" s="6" t="inlineStr">
        <is>
          <t>Life (years)</t>
        </is>
      </c>
      <c r="D102" s="6" t="inlineStr">
        <is>
          <t>On-site income (1 = yes)</t>
        </is>
      </c>
      <c r="E102" s="6" t="inlineStr">
        <is>
          <t>Replacement share</t>
        </is>
      </c>
      <c r="F102" s="6" t="inlineStr">
        <is>
          <t>Total revenue (THB bn a year)</t>
        </is>
      </c>
      <c r="G102" s="6" t="inlineStr">
        <is>
          <t>Annuity factor AF</t>
        </is>
      </c>
      <c r="H102" s="6" t="inlineStr">
        <is>
          <t>PV of capex (THB bn)</t>
        </is>
      </c>
      <c r="I102" s="6" t="inlineStr">
        <is>
          <t>NPV pre-tax (THB bn)</t>
        </is>
      </c>
    </row>
    <row r="103">
      <c r="A103" t="inlineStr">
        <is>
          <t>Base: primary, ticket-only revenue, 20-year life</t>
        </is>
      </c>
      <c r="B103" s="5">
        <f>B6</f>
        <v/>
      </c>
      <c r="C103">
        <f>B7</f>
        <v/>
      </c>
      <c r="D103" t="n">
        <v>0</v>
      </c>
      <c r="E103" s="3">
        <f>B16</f>
        <v/>
      </c>
      <c r="F103" s="4">
        <f>$B$15+D103*$B$14*Inputs!$D$150/1000</f>
        <v/>
      </c>
      <c r="G103" s="3">
        <f>(1+B103)^(-$B$8)*(1-(1+B103)^(-C103))/(1-1/(1+B103))</f>
        <v/>
      </c>
      <c r="H103" s="4">
        <f>($B$9/$B$8)*(1-(1+B103)^(-$B$8))/(1-1/(1+B103))</f>
        <v/>
      </c>
      <c r="I103" s="4">
        <f>(F103*(1-$B$5)-E103*$B$9)*G103-H103</f>
        <v/>
      </c>
    </row>
    <row r="104">
      <c r="A104" t="inlineStr">
        <is>
          <t>On-site income at 1,862 THB per operator visit (low-case benchmark), cash ratio on total revenue</t>
        </is>
      </c>
      <c r="B104" s="5">
        <f>B6</f>
        <v/>
      </c>
      <c r="C104">
        <f>B7</f>
        <v/>
      </c>
      <c r="D104" t="n">
        <v>1</v>
      </c>
      <c r="E104" s="3">
        <f>B16</f>
        <v/>
      </c>
      <c r="F104" s="4">
        <f>$B$15+D104*$B$14*Inputs!$D$150/1000</f>
        <v/>
      </c>
      <c r="G104" s="3">
        <f>(1+B104)^(-$B$8)*(1-(1+B104)^(-C104))/(1-1/(1+B104))</f>
        <v/>
      </c>
      <c r="H104" s="4">
        <f>($B$9/$B$8)*(1-(1+B104)^(-$B$8))/(1-1/(1+B104))</f>
        <v/>
      </c>
      <c r="I104" s="4">
        <f>(F104*(1-$B$5)-E104*$B$9)*G104-H104</f>
        <v/>
      </c>
    </row>
    <row r="105">
      <c r="A105" t="inlineStr">
        <is>
          <t>Life 30 years</t>
        </is>
      </c>
      <c r="B105" s="5">
        <f>B6</f>
        <v/>
      </c>
      <c r="C105" t="n">
        <v>30</v>
      </c>
      <c r="D105" t="n">
        <v>0</v>
      </c>
      <c r="E105" s="3">
        <f>B16</f>
        <v/>
      </c>
      <c r="F105" s="4">
        <f>$B$15+D105*$B$14*Inputs!$D$150/1000</f>
        <v/>
      </c>
      <c r="G105" s="3">
        <f>(1+B105)^(-$B$8)*(1-(1+B105)^(-C105))/(1-1/(1+B105))</f>
        <v/>
      </c>
      <c r="H105" s="4">
        <f>($B$9/$B$8)*(1-(1+B105)^(-$B$8))/(1-1/(1+B105))</f>
        <v/>
      </c>
      <c r="I105" s="4">
        <f>(F105*(1-$B$5)-E105*$B$9)*G105-H105</f>
        <v/>
      </c>
    </row>
    <row r="106">
      <c r="A106" t="inlineStr">
        <is>
          <t>Life 40 years</t>
        </is>
      </c>
      <c r="B106" s="5">
        <f>B6</f>
        <v/>
      </c>
      <c r="C106" t="n">
        <v>40</v>
      </c>
      <c r="D106" t="n">
        <v>0</v>
      </c>
      <c r="E106" s="3">
        <f>B16</f>
        <v/>
      </c>
      <c r="F106" s="4">
        <f>$B$15+D106*$B$14*Inputs!$D$150/1000</f>
        <v/>
      </c>
      <c r="G106" s="3">
        <f>(1+B106)^(-$B$8)*(1-(1+B106)^(-C106))/(1-1/(1+B106))</f>
        <v/>
      </c>
      <c r="H106" s="4">
        <f>($B$9/$B$8)*(1-(1+B106)^(-$B$8))/(1-1/(1+B106))</f>
        <v/>
      </c>
      <c r="I106" s="4">
        <f>(F106*(1-$B$5)-E106*$B$9)*G106-H106</f>
        <v/>
      </c>
    </row>
    <row r="107">
      <c r="A107" t="inlineStr">
        <is>
          <t>WACC 6 percent</t>
        </is>
      </c>
      <c r="B107" s="5" t="n">
        <v>0.06</v>
      </c>
      <c r="C107">
        <f>B7</f>
        <v/>
      </c>
      <c r="D107" t="n">
        <v>0</v>
      </c>
      <c r="E107" s="3">
        <f>B16</f>
        <v/>
      </c>
      <c r="F107" s="4">
        <f>$B$15+D107*$B$14*Inputs!$D$150/1000</f>
        <v/>
      </c>
      <c r="G107" s="3">
        <f>(1+B107)^(-$B$8)*(1-(1+B107)^(-C107))/(1-1/(1+B107))</f>
        <v/>
      </c>
      <c r="H107" s="4">
        <f>($B$9/$B$8)*(1-(1+B107)^(-$B$8))/(1-1/(1+B107))</f>
        <v/>
      </c>
      <c r="I107" s="4">
        <f>(F107*(1-$B$5)-E107*$B$9)*G107-H107</f>
        <v/>
      </c>
    </row>
    <row r="108">
      <c r="A108" t="inlineStr">
        <is>
          <t>WACC 7 percent (high case)</t>
        </is>
      </c>
      <c r="B108" s="5" t="n">
        <v>0.07000000000000001</v>
      </c>
      <c r="C108">
        <f>B7</f>
        <v/>
      </c>
      <c r="D108" t="n">
        <v>0</v>
      </c>
      <c r="E108" s="3">
        <f>B16</f>
        <v/>
      </c>
      <c r="F108" s="4">
        <f>$B$15+D108*$B$14*Inputs!$D$150/1000</f>
        <v/>
      </c>
      <c r="G108" s="3">
        <f>(1+B108)^(-$B$8)*(1-(1+B108)^(-C108))/(1-1/(1+B108))</f>
        <v/>
      </c>
      <c r="H108" s="4">
        <f>($B$9/$B$8)*(1-(1+B108)^(-$B$8))/(1-1/(1+B108))</f>
        <v/>
      </c>
      <c r="I108" s="4">
        <f>(F108*(1-$B$5)-E108*$B$9)*G108-H108</f>
        <v/>
      </c>
    </row>
    <row r="109">
      <c r="A109" t="inlineStr">
        <is>
          <t>WACC 10 percent (low case)</t>
        </is>
      </c>
      <c r="B109" s="5" t="n">
        <v>0.1</v>
      </c>
      <c r="C109">
        <f>B7</f>
        <v/>
      </c>
      <c r="D109" t="n">
        <v>0</v>
      </c>
      <c r="E109" s="3">
        <f>B16</f>
        <v/>
      </c>
      <c r="F109" s="4">
        <f>$B$15+D109*$B$14*Inputs!$D$150/1000</f>
        <v/>
      </c>
      <c r="G109" s="3">
        <f>(1+B109)^(-$B$8)*(1-(1+B109)^(-C109))/(1-1/(1+B109))</f>
        <v/>
      </c>
      <c r="H109" s="4">
        <f>($B$9/$B$8)*(1-(1+B109)^(-$B$8))/(1-1/(1+B109))</f>
        <v/>
      </c>
      <c r="I109" s="4">
        <f>(F109*(1-$B$5)-E109*$B$9)*G109-H109</f>
        <v/>
      </c>
    </row>
    <row r="110">
      <c r="A110" t="inlineStr">
        <is>
          <t>Replacement at HK depreciation proxy (not sourced)</t>
        </is>
      </c>
      <c r="B110" s="5">
        <f>B6</f>
        <v/>
      </c>
      <c r="C110">
        <f>B7</f>
        <v/>
      </c>
      <c r="D110" t="n">
        <v>0</v>
      </c>
      <c r="E110" s="3">
        <f>Inputs!$C$168</f>
        <v/>
      </c>
      <c r="F110" s="4">
        <f>$B$15+D110*$B$14*Inputs!$D$150/1000</f>
        <v/>
      </c>
      <c r="G110" s="3">
        <f>(1+B110)^(-$B$8)*(1-(1+B110)^(-C110))/(1-1/(1+B110))</f>
        <v/>
      </c>
      <c r="H110" s="4">
        <f>($B$9/$B$8)*(1-(1+B110)^(-$B$8))/(1-1/(1+B110))</f>
        <v/>
      </c>
      <c r="I110" s="4">
        <f>(F110*(1-$B$5)-E110*$B$9)*G110-H110</f>
        <v/>
      </c>
    </row>
    <row r="111">
      <c r="A111" t="inlineStr">
        <is>
          <t>Life 30 years with replacement proxy</t>
        </is>
      </c>
      <c r="B111" s="5">
        <f>B6</f>
        <v/>
      </c>
      <c r="C111" t="n">
        <v>30</v>
      </c>
      <c r="D111" t="n">
        <v>0</v>
      </c>
      <c r="E111" s="3">
        <f>Inputs!$C$168</f>
        <v/>
      </c>
      <c r="F111" s="4">
        <f>$B$15+D111*$B$14*Inputs!$D$150/1000</f>
        <v/>
      </c>
      <c r="G111" s="3">
        <f>(1+B111)^(-$B$8)*(1-(1+B111)^(-C111))/(1-1/(1+B111))</f>
        <v/>
      </c>
      <c r="H111" s="4">
        <f>($B$9/$B$8)*(1-(1+B111)^(-$B$8))/(1-1/(1+B111))</f>
        <v/>
      </c>
      <c r="I111" s="4">
        <f>(F111*(1-$B$5)-E111*$B$9)*G111-H111</f>
        <v/>
      </c>
    </row>
    <row r="112">
      <c r="A112" t="inlineStr">
        <is>
          <t>On-site income with replacement proxy</t>
        </is>
      </c>
      <c r="B112" s="5">
        <f>B6</f>
        <v/>
      </c>
      <c r="C112">
        <f>B7</f>
        <v/>
      </c>
      <c r="D112" t="n">
        <v>1</v>
      </c>
      <c r="E112" s="3">
        <f>Inputs!$C$168</f>
        <v/>
      </c>
      <c r="F112" s="4">
        <f>$B$15+D112*$B$14*Inputs!$D$150/1000</f>
        <v/>
      </c>
      <c r="G112" s="3">
        <f>(1+B112)^(-$B$8)*(1-(1+B112)^(-C112))/(1-1/(1+B112))</f>
        <v/>
      </c>
      <c r="H112" s="4">
        <f>($B$9/$B$8)*(1-(1+B112)^(-$B$8))/(1-1/(1+B112))</f>
        <v/>
      </c>
      <c r="I112" s="4">
        <f>(F112*(1-$B$5)-E112*$B$9)*G112-H112</f>
        <v/>
      </c>
    </row>
    <row r="113">
      <c r="A113" t="inlineStr">
        <is>
          <t>Combined: on-site income, life 30, replacement proxy</t>
        </is>
      </c>
      <c r="B113" s="5">
        <f>B6</f>
        <v/>
      </c>
      <c r="C113" t="n">
        <v>30</v>
      </c>
      <c r="D113" t="n">
        <v>1</v>
      </c>
      <c r="E113" s="3">
        <f>Inputs!$C$168</f>
        <v/>
      </c>
      <c r="F113" s="4">
        <f>$B$15+D113*$B$14*Inputs!$D$150/1000</f>
        <v/>
      </c>
      <c r="G113" s="3">
        <f>(1+B113)^(-$B$8)*(1-(1+B113)^(-C113))/(1-1/(1+B113))</f>
        <v/>
      </c>
      <c r="H113" s="4">
        <f>($B$9/$B$8)*(1-(1+B113)^(-$B$8))/(1-1/(1+B113))</f>
        <v/>
      </c>
      <c r="I113" s="4">
        <f>(F113*(1-$B$5)-E113*$B$9)*G113-H113</f>
        <v/>
      </c>
    </row>
    <row r="115">
      <c r="A115" t="inlineStr">
        <is>
          <t>Check: base scenario less B21 (about 0)</t>
        </is>
      </c>
      <c r="I115" s="4">
        <f>I103-B21</f>
        <v/>
      </c>
    </row>
    <row r="116">
      <c r="A116" t="inlineStr">
        <is>
          <t>Scenarios are pre-tax. Where the life exceeds the tax depreciation years, tax is not computed (see the guard in row 32).</t>
        </is>
      </c>
    </row>
    <row r="118">
      <c r="A118" s="2" t="inlineStr">
        <is>
          <t>Two-way sensitivity: primary NPV pre-tax (THB bn), capital cost (rows) by cost share (columns). Columns B and C are cash-cost cases; column D is the legacy total-cost reconciliation (includes D&amp;A, financing and tax). Ticket-only revenue, base WACC and life; replacement per B16.</t>
        </is>
      </c>
    </row>
    <row r="119">
      <c r="A119" s="2" t="inlineStr">
        <is>
          <t>Capital cost (THB bn), rows; cost share, columns (B, C cash; D legacy total-cost)</t>
        </is>
      </c>
      <c r="B119" s="3" t="n">
        <v>0.7</v>
      </c>
      <c r="C119" s="3">
        <f>B5</f>
        <v/>
      </c>
      <c r="D119" s="3">
        <f>Inputs!$C$153</f>
        <v/>
      </c>
    </row>
    <row r="120">
      <c r="A120" t="n">
        <v>150</v>
      </c>
      <c r="B120" s="4">
        <f>$B$15*(1-B$119)*$B$27-$A120*($B$28/$B$9)-$B$16*$A120*$B$27</f>
        <v/>
      </c>
      <c r="C120" s="4">
        <f>$B$15*(1-C$119)*$B$27-$A120*($B$28/$B$9)-$B$16*$A120*$B$27</f>
        <v/>
      </c>
      <c r="D120" s="4">
        <f>$B$15*(1-D$119)*$B$27-$A120*($B$28/$B$9)-$B$16*$A120*$B$27</f>
        <v/>
      </c>
    </row>
    <row r="121">
      <c r="A121" t="n">
        <v>200</v>
      </c>
      <c r="B121" s="4">
        <f>$B$15*(1-B$119)*$B$27-$A121*($B$28/$B$9)-$B$16*$A121*$B$27</f>
        <v/>
      </c>
      <c r="C121" s="4">
        <f>$B$15*(1-C$119)*$B$27-$A121*($B$28/$B$9)-$B$16*$A121*$B$27</f>
        <v/>
      </c>
      <c r="D121" s="4">
        <f>$B$15*(1-D$119)*$B$27-$A121*($B$28/$B$9)-$B$16*$A121*$B$27</f>
        <v/>
      </c>
    </row>
    <row r="122">
      <c r="A122" t="n">
        <v>250</v>
      </c>
      <c r="B122" s="4">
        <f>$B$15*(1-B$119)*$B$27-$A122*($B$28/$B$9)-$B$16*$A122*$B$27</f>
        <v/>
      </c>
      <c r="C122" s="4">
        <f>$B$15*(1-C$119)*$B$27-$A122*($B$28/$B$9)-$B$16*$A122*$B$27</f>
        <v/>
      </c>
      <c r="D122" s="4">
        <f>$B$15*(1-D$119)*$B$27-$A122*($B$28/$B$9)-$B$16*$A122*$B$27</f>
        <v/>
      </c>
    </row>
    <row r="123">
      <c r="A123" t="n">
        <v>300</v>
      </c>
      <c r="B123" s="4">
        <f>$B$15*(1-B$119)*$B$27-$A123*($B$28/$B$9)-$B$16*$A123*$B$27</f>
        <v/>
      </c>
      <c r="C123" s="4">
        <f>$B$15*(1-C$119)*$B$27-$A123*($B$28/$B$9)-$B$16*$A123*$B$27</f>
        <v/>
      </c>
      <c r="D123" s="4">
        <f>$B$15*(1-D$119)*$B$27-$A123*($B$28/$B$9)-$B$16*$A123*$B$27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2026-10-20T18:33:17Z</dcterms:created>
  <dcterms:modified xmlns:dcterms="http://purl.org/dc/terms/" xmlns:xsi="http://www.w3.org/2001/XMLSchema-instance" xsi:type="dcterms:W3CDTF">2026-10-20T18:33:17Z</dcterms:modified>
</cp:coreProperties>
</file>