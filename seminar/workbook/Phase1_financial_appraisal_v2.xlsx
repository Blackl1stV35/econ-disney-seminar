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Primary park-only operator cash flow by year, THB bn</a:t>
            </a:r>
          </a:p>
        </rich>
      </tx>
    </title>
    <plotArea>
      <barChart>
        <barDir val="col"/>
        <grouping val="clustered"/>
        <ser>
          <idx val="0"/>
          <order val="0"/>
          <tx>
            <strRef>
              <f>'Appraisal'!J40</f>
            </strRef>
          </tx>
          <spPr>
            <a:ln xmlns:a="http://schemas.openxmlformats.org/drawingml/2006/main">
              <a:prstDash val="solid"/>
            </a:ln>
          </spPr>
          <cat>
            <numRef>
              <f>'Appraisal'!$A$41:$A$63</f>
            </numRef>
          </cat>
          <val>
            <numRef>
              <f>'Appraisal'!$J$41:$J$63</f>
            </numRef>
          </val>
        </ser>
        <ser>
          <idx val="1"/>
          <order val="1"/>
          <tx>
            <strRef>
              <f>'Appraisal'!Q40</f>
            </strRef>
          </tx>
          <spPr>
            <a:ln xmlns:a="http://schemas.openxmlformats.org/drawingml/2006/main">
              <a:prstDash val="solid"/>
            </a:ln>
          </spPr>
          <cat>
            <numRef>
              <f>'Appraisal'!$A$41:$A$63</f>
            </numRef>
          </cat>
          <val>
            <numRef>
              <f>'Appraisal'!$Q$41:$Q$63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after-tax cash flow, primary, THB bn</a:t>
            </a:r>
          </a:p>
        </rich>
      </tx>
    </title>
    <plotArea>
      <lineChart>
        <grouping val="standard"/>
        <ser>
          <idx val="0"/>
          <order val="0"/>
          <tx>
            <strRef>
              <f>'Appraisal'!S40</f>
            </strRef>
          </tx>
          <spPr>
            <a:ln xmlns:a="http://schemas.openxmlformats.org/drawingml/2006/main">
              <a:prstDash val="solid"/>
            </a:ln>
          </spPr>
          <marker>
            <symbol val="none"/>
            <spPr>
              <a:ln xmlns:a="http://schemas.openxmlformats.org/drawingml/2006/main">
                <a:prstDash val="solid"/>
              </a:ln>
            </spPr>
          </marker>
          <cat>
            <numRef>
              <f>'Appraisal'!$A$41:$A$63</f>
            </numRef>
          </cat>
          <val>
            <numRef>
              <f>'Appraisal'!$S$41:$S$63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sensitivity case, pre-tax, THB bn (primary and legacy)</a:t>
            </a:r>
          </a:p>
        </rich>
      </tx>
    </title>
    <plotArea>
      <barChart>
        <barDir val="bar"/>
        <grouping val="clustered"/>
        <ser>
          <idx val="0"/>
          <order val="0"/>
          <tx>
            <strRef>
              <f>'Appraisal'!G67</f>
            </strRef>
          </tx>
          <spPr>
            <a:ln xmlns:a="http://schemas.openxmlformats.org/drawingml/2006/main">
              <a:prstDash val="solid"/>
            </a:ln>
          </spPr>
          <cat>
            <numRef>
              <f>'Appraisal'!$A$68:$A$94</f>
            </numRef>
          </cat>
          <val>
            <numRef>
              <f>'Appraisal'!$G$68:$G$94</f>
            </numRef>
          </val>
        </ser>
        <ser>
          <idx val="1"/>
          <order val="1"/>
          <tx>
            <strRef>
              <f>'Appraisal'!H67</f>
            </strRef>
          </tx>
          <spPr>
            <a:ln xmlns:a="http://schemas.openxmlformats.org/drawingml/2006/main">
              <a:prstDash val="solid"/>
            </a:ln>
          </spPr>
          <cat>
            <numRef>
              <f>'Appraisal'!$A$68:$A$94</f>
            </numRef>
          </cat>
          <val>
            <numRef>
              <f>'Appraisal'!$H$68:$H$94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7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6" customWidth="1" min="3" max="3"/>
    <col width="16" customWidth="1" min="4" max="4"/>
    <col width="16" customWidth="1" min="5" max="5"/>
    <col width="26" customWidth="1" min="6" max="6"/>
    <col width="52" customWidth="1" min="7" max="7"/>
    <col width="90" customWidth="1" min="8" max="8"/>
  </cols>
  <sheetData>
    <row r="1">
      <c r="A1" s="1" t="inlineStr">
        <is>
          <t>Input assumptions (v2): every row of inputs.csv and assumptions.csv, then the decision rows added on 20 October 2026</t>
        </is>
      </c>
    </row>
    <row r="2">
      <c r="A2" t="inlineStr">
        <is>
          <t>Column C is the base case used by the appraisal. Status and source are copied from the source file; the decision rows at the bottom carry their own status.</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row r="165">
      <c r="A165" s="2" t="inlineStr">
        <is>
          <t>decision rows (20 October 2026)</t>
        </is>
      </c>
    </row>
    <row r="166">
      <c r="A166" t="inlineStr">
        <is>
          <t>decision 20 Oct 2026</t>
        </is>
      </c>
      <c r="B166" t="inlineStr">
        <is>
          <t>park_only_capex_thb_bn (park-only boundary)</t>
        </is>
      </c>
      <c r="C166">
        <f>C5</f>
        <v/>
      </c>
      <c r="F166" t="inlineStr">
        <is>
          <t>THB bn</t>
        </is>
      </c>
      <c r="G166" t="inlineStr">
        <is>
          <t>proposal from news (not verified); boundary matched to the theme-park revenue model</t>
        </is>
      </c>
      <c r="H166" t="inlineStr">
        <is>
          <t>Linked to capex_park_high_thb_bn. Nation (12 Feb 2026) gives about 200 bn for the theme park alone (checked in the review, claim R11).</t>
        </is>
      </c>
    </row>
    <row r="167">
      <c r="A167" t="inlineStr">
        <is>
          <t>decision 20 Oct 2026</t>
        </is>
      </c>
      <c r="B167" t="inlineStr">
        <is>
          <t>replacement_capex_share_per_year</t>
        </is>
      </c>
      <c r="C167" t="n">
        <v>0</v>
      </c>
      <c r="F167" t="inlineStr">
        <is>
          <t>share of boundary capex per operating year</t>
        </is>
      </c>
      <c r="G167" t="inlineStr">
        <is>
          <t>not sourced: base set to zero; the sensitivity table uses the HK depreciation proxy</t>
        </is>
      </c>
      <c r="H167" t="inlineStr">
        <is>
          <t>No replacement-capex input exists in the repository. Zero in the base; see the sensitivity rows.</t>
        </is>
      </c>
    </row>
    <row r="168">
      <c r="A168" t="inlineStr">
        <is>
          <t>decision 20 Oct 2026</t>
        </is>
      </c>
      <c r="B168" t="inlineStr">
        <is>
          <t>hk_depreciation_share_of_noncurrent_assets (proxy)</t>
        </is>
      </c>
      <c r="C168">
        <f>C136/C137</f>
        <v/>
      </c>
      <c r="F168" t="inlineStr">
        <is>
          <t>share per year</t>
        </is>
      </c>
      <c r="G168" t="inlineStr">
        <is>
          <t>derived from HK Disneyland FY2025 (depreciation over noncurrent assets); proxy only</t>
        </is>
      </c>
      <c r="H168" t="inlineStr">
        <is>
          <t>Used only in the sensitivity row for replacement capex. It is a depreciation rate, not a replacement estimate.</t>
        </is>
      </c>
    </row>
    <row r="169">
      <c r="A169" t="inlineStr">
        <is>
          <t>decision 20 Oct 2026</t>
        </is>
      </c>
      <c r="B169" t="inlineStr">
        <is>
          <t>corporate_income_tax_rate (linked)</t>
        </is>
      </c>
      <c r="C169">
        <f>C109</f>
        <v/>
      </c>
      <c r="F169" t="inlineStr">
        <is>
          <t>ratio</t>
        </is>
      </c>
      <c r="G169" t="inlineStr">
        <is>
          <t>sourced in inputs.csv</t>
        </is>
      </c>
      <c r="H169" t="inlineStr">
        <is>
          <t>Standard corporate income tax rate, linked.</t>
        </is>
      </c>
    </row>
    <row r="170">
      <c r="A170" t="inlineStr">
        <is>
          <t>decision 20 Oct 2026</t>
        </is>
      </c>
      <c r="B170" t="inlineStr">
        <is>
          <t>tax_depreciation_years (linked to tourism asset life)</t>
        </is>
      </c>
      <c r="C170">
        <f>C129</f>
        <v/>
      </c>
      <c r="F170" t="inlineStr">
        <is>
          <t>years</t>
        </is>
      </c>
      <c r="G170" t="inlineStr">
        <is>
          <t>assumption: no tax depreciation life is established; the team economic project life is used as a proxy, not a sourced tax basis</t>
        </is>
      </c>
      <c r="H170" t="inlineStr">
        <is>
          <t>Straight-line tax depreciation over the project life from opening. Chow review point 4.</t>
        </is>
      </c>
    </row>
    <row r="171">
      <c r="A171" t="inlineStr">
        <is>
          <t>decision 20 Oct 2026</t>
        </is>
      </c>
      <c r="B171" t="inlineStr">
        <is>
          <t>loss carry-forward rule (proxy)</t>
        </is>
      </c>
      <c r="F171" t="inlineStr">
        <is>
          <t>text</t>
        </is>
      </c>
      <c r="G171" t="inlineStr">
        <is>
          <t>proxy: losses carried forward without time limit; the Thai rule is 5 years (not in inputs)</t>
        </is>
      </c>
      <c r="H171" t="inlineStr">
        <is>
          <t>Exact only where annual taxable income has one sign over the operating years, which holds for the base and every sensitivity case (constant annual taxable income). The Thai rule is five years (Revenue Code section 65 ter (12)). The workbook does not model loss vintages.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8"/>
  <sheetViews>
    <sheetView workbookViewId="0">
      <pane ySplit="4" topLeftCell="A5" activePane="bottomLeft" state="frozen"/>
      <selection pane="bottomLeft" activeCell="A1" sqref="A1"/>
    </sheetView>
  </sheetViews>
  <sheetFormatPr baseColWidth="8" defaultRowHeight="15"/>
  <cols>
    <col width="62" customWidth="1" min="1" max="1"/>
    <col width="16" customWidth="1" min="2" max="2"/>
    <col width="16" customWidth="1" min="3" max="3"/>
    <col width="14" customWidth="1" min="4" max="4"/>
    <col width="14" customWidth="1" min="5" max="5"/>
    <col width="14" customWidth="1" min="6" max="6"/>
    <col width="16" customWidth="1" min="7" max="7"/>
    <col width="16" customWidth="1" min="8" max="8"/>
    <col width="16"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4" customWidth="1" min="17" max="17"/>
    <col width="14" customWidth="1" min="18" max="18"/>
    <col width="14" customWidth="1" min="19" max="19"/>
  </cols>
  <sheetData>
    <row r="1">
      <c r="A1" s="1" t="inlineStr">
        <is>
          <t>Operator financial appraisal v2: park-only boundary, cash operating cost, cash tax and replacement capex (THB billion unless stated)</t>
        </is>
      </c>
    </row>
    <row r="2">
      <c r="A2" t="inlineStr">
        <is>
          <t>Primary result: the park-only operator ledger, which matches the theme-park revenue. Legacy column: the 300 bn complex capex on the same revenue, kept as a reconciliation to the earlier model.</t>
        </is>
      </c>
    </row>
    <row r="3">
      <c r="A3" t="inlineStr">
        <is>
          <t>Limits: the cash basis is a proxy from HK Disneyland FY2025 accounts. The replacement capex base is zero (no source). The tax loss rule is a proxy. Working capital, the capex and revenue boundary of the sports complex, and the public-funding flows are not in the operator ledger.</t>
        </is>
      </c>
    </row>
    <row r="4">
      <c r="A4" t="inlineStr">
        <is>
          <t>Parameter</t>
        </is>
      </c>
      <c r="B4" t="inlineStr">
        <is>
          <t>Primary: park-only boundary</t>
        </is>
      </c>
      <c r="C4" t="inlineStr">
        <is>
          <t>Legacy reconciliation (300 bn complex)</t>
        </is>
      </c>
    </row>
    <row r="5">
      <c r="A5" t="inlineStr">
        <is>
          <t>Cash operating-cost share of revenue (HK Disneyland FY2025: costs before D&amp;A over revenue)</t>
        </is>
      </c>
      <c r="B5" s="3">
        <f>Inputs!$C$135/Inputs!$C$86</f>
        <v/>
      </c>
      <c r="C5" s="3">
        <f>B5</f>
        <v/>
      </c>
    </row>
    <row r="6">
      <c r="A6" t="inlineStr">
        <is>
          <t>WACC (financial cost of capital)</t>
        </is>
      </c>
      <c r="B6">
        <f>Inputs!$C$145</f>
        <v/>
      </c>
      <c r="C6">
        <f>B6</f>
        <v/>
      </c>
    </row>
    <row r="7">
      <c r="A7" t="inlineStr">
        <is>
          <t>Project life (years of operation)</t>
        </is>
      </c>
      <c r="B7">
        <f>Inputs!$C$143</f>
        <v/>
      </c>
      <c r="C7">
        <f>B7</f>
        <v/>
      </c>
    </row>
    <row r="8">
      <c r="A8" t="inlineStr">
        <is>
          <t>Construction years</t>
        </is>
      </c>
      <c r="B8">
        <f>Inputs!$C$144</f>
        <v/>
      </c>
      <c r="C8">
        <f>B8</f>
        <v/>
      </c>
    </row>
    <row r="9">
      <c r="A9" t="inlineStr">
        <is>
          <t>Capital expenditure (THB bn): primary = park-only; legacy = 300 bn complex</t>
        </is>
      </c>
      <c r="B9">
        <f>Inputs!$C$166</f>
        <v/>
      </c>
      <c r="C9">
        <f>Inputs!$C$4</f>
        <v/>
      </c>
    </row>
    <row r="10">
      <c r="A10" t="inlineStr">
        <is>
          <t>Attendance (million visits a year)</t>
        </is>
      </c>
      <c r="B10">
        <f>Inputs!$C$146</f>
        <v/>
      </c>
      <c r="C10">
        <f>B10</f>
        <v/>
      </c>
    </row>
    <row r="11">
      <c r="A11" t="inlineStr">
        <is>
          <t>International share of attendance</t>
        </is>
      </c>
      <c r="B11">
        <f>Inputs!$C$147</f>
        <v/>
      </c>
      <c r="C11">
        <f>B11</f>
        <v/>
      </c>
    </row>
    <row r="12">
      <c r="A12" t="inlineStr">
        <is>
          <t>Physical visit cap (million visits a year): smaller of airport and room-stock capacity</t>
        </is>
      </c>
      <c r="B12">
        <f>MIN(Inputs!$C$28/Inputs!$C$157,Inputs!$C$161*365*Inputs!$C$156/Inputs!$C$155)/1000000</f>
        <v/>
      </c>
      <c r="C12">
        <f>B12</f>
        <v/>
      </c>
    </row>
    <row r="13">
      <c r="A13" t="inlineStr">
        <is>
          <t>Ticket revenue per visit (THB)</t>
        </is>
      </c>
      <c r="B13">
        <f>Inputs!$C$154</f>
        <v/>
      </c>
      <c r="C13">
        <f>B13</f>
        <v/>
      </c>
    </row>
    <row r="14">
      <c r="A14" t="inlineStr">
        <is>
          <t>Operator visits per operating year (million): attendance less international visits above the cap</t>
        </is>
      </c>
      <c r="B14">
        <f>B10-MAX(B10*B11-B12,0)</f>
        <v/>
      </c>
      <c r="C14">
        <f>B14</f>
        <v/>
      </c>
    </row>
    <row r="15">
      <c r="A15" t="inlineStr">
        <is>
          <t>Operator revenue per operating year (THB bn)</t>
        </is>
      </c>
      <c r="B15">
        <f>B14*B13/1000</f>
        <v/>
      </c>
      <c r="C15">
        <f>B15</f>
        <v/>
      </c>
    </row>
    <row r="16">
      <c r="A16" t="inlineStr">
        <is>
          <t>Replacement capex, share of capex per operating year (base zero, not sourced)</t>
        </is>
      </c>
      <c r="B16">
        <f>Inputs!$C$167</f>
        <v/>
      </c>
      <c r="C16">
        <f>B16</f>
        <v/>
      </c>
    </row>
    <row r="17">
      <c r="A17" t="inlineStr">
        <is>
          <t>Corporate income tax rate</t>
        </is>
      </c>
      <c r="B17">
        <f>Inputs!$C$169</f>
        <v/>
      </c>
      <c r="C17">
        <f>B17</f>
        <v/>
      </c>
    </row>
    <row r="18">
      <c r="A18" t="inlineStr">
        <is>
          <t>Tax depreciation years (straight line from opening)</t>
        </is>
      </c>
      <c r="B18">
        <f>Inputs!$C$170</f>
        <v/>
      </c>
      <c r="C18">
        <f>B18</f>
        <v/>
      </c>
    </row>
    <row r="20">
      <c r="A20" t="inlineStr">
        <is>
          <t>Results</t>
        </is>
      </c>
      <c r="B20" t="inlineStr">
        <is>
          <t>Primary: park-only boundary</t>
        </is>
      </c>
      <c r="C20" t="inlineStr">
        <is>
          <t>Legacy reconciliation (300 bn complex)</t>
        </is>
      </c>
    </row>
    <row r="21">
      <c r="A21" t="inlineStr">
        <is>
          <t>Operator NPV before tax at the financial cost of capital (THB bn)</t>
        </is>
      </c>
      <c r="B21" s="4">
        <f>SUM(K41:K63)</f>
        <v/>
      </c>
      <c r="C21" s="4">
        <f>(C15*(1-C5)-C16*C9)*B27-(C9/B9)*B28</f>
        <v/>
      </c>
    </row>
    <row r="22">
      <c r="A22" t="inlineStr">
        <is>
          <t>Operator NPV after tax (THB bn)</t>
        </is>
      </c>
      <c r="B22" s="4">
        <f>IF($B$18&lt;$B$7,"not valid: tax depreciation ends before operations",SUM(R41:R63))</f>
        <v/>
      </c>
      <c r="C22" s="4">
        <f>IF(C18&lt;C7,"not valid: tax depreciation ends before operations",IF(C29&lt;=0,C21,"tax needed: not computed"))</f>
        <v/>
      </c>
    </row>
    <row r="23">
      <c r="A23" t="inlineStr">
        <is>
          <t>Operator IRR after tax</t>
        </is>
      </c>
      <c r="B23" s="5">
        <f>IF($B$18&lt;$B$7,"not valid",IRR(Q41:Q63,-0.1))</f>
        <v/>
      </c>
      <c r="C23" t="inlineStr">
        <is>
          <t>see row 23 (primary)</t>
        </is>
      </c>
    </row>
    <row r="24">
      <c r="A24" t="inlineStr">
        <is>
          <t>Break-even capex, pre-tax, NPV = 0 (THB bn)</t>
        </is>
      </c>
      <c r="B24" s="4">
        <f>B15*(1-B5)*B27/(B16*B27+B28/B9)</f>
        <v/>
      </c>
      <c r="C24" s="4">
        <f>B24</f>
        <v/>
      </c>
    </row>
    <row r="25">
      <c r="A25" t="inlineStr">
        <is>
          <t>Break-even attendance, pre-tax, NPV = 0 (million visits a year)</t>
        </is>
      </c>
      <c r="B25" s="4">
        <f>B10-B21/((1-B5)*B13/1000*(1-B11)*B27)</f>
        <v/>
      </c>
      <c r="C25" s="4">
        <f>B10-C21/((1-C5)*C13/1000*(1-C11)*B27)</f>
        <v/>
      </c>
    </row>
    <row r="26">
      <c r="A26" t="inlineStr">
        <is>
          <t>Regime check for break-even attendance (OK when the break-even attendance is above the cap)</t>
        </is>
      </c>
      <c r="B26">
        <f>IF(B25*B11&gt;=B12,"OK","CHECK")</f>
        <v/>
      </c>
      <c r="C26">
        <f>IF(C25*C11&gt;=C12,"OK","CHECK")</f>
        <v/>
      </c>
    </row>
    <row r="27">
      <c r="A27" t="inlineStr">
        <is>
          <t>AF0: sum of discount factors over operating years</t>
        </is>
      </c>
      <c r="B27">
        <f>SUMPRODUCT(B41:B63,D41:D63)</f>
        <v/>
      </c>
    </row>
    <row r="28">
      <c r="A28" t="inlineStr">
        <is>
          <t>PVcap: present value of primary capex (THB bn, linear in capex)</t>
        </is>
      </c>
      <c r="B28" s="4">
        <f>SUMPRODUCT(E41:E63,B41:B63)</f>
        <v/>
      </c>
    </row>
    <row r="29">
      <c r="A29" t="inlineStr">
        <is>
          <t>Cumulative taxable income over the life, base: must be at most zero for zero tax</t>
        </is>
      </c>
      <c r="B29" s="4">
        <f>N63</f>
        <v/>
      </c>
      <c r="C29" s="4">
        <f>(C15*(1-C5)-C9/C18)*C7</f>
        <v/>
      </c>
    </row>
    <row r="30">
      <c r="A30" t="inlineStr">
        <is>
          <t>Reconciliation: legacy NPV before tax less the model reference (cash basis, -259.42); should be about 0</t>
        </is>
      </c>
      <c r="C30" s="4">
        <f>C21--259.4197777456208</f>
        <v/>
      </c>
    </row>
    <row r="32">
      <c r="A32" t="inlineStr">
        <is>
          <t>Tax validity guard: after-tax outputs are shown only when tax depreciation covers the operating life</t>
        </is>
      </c>
      <c r="B32">
        <f>IF(B18&lt;B7,"CHECK: tax depreciation ends before operations; after-tax outputs are not valid","OK: tax depreciation covers the operating life")</f>
        <v/>
      </c>
      <c r="C32">
        <f>IF(C18&lt;C7,"CHECK: tax depreciation ends before operations; after-tax outputs are not valid","OK: tax depreciation covers the operating life")</f>
        <v/>
      </c>
    </row>
    <row r="39">
      <c r="A39" s="2" t="inlineStr">
        <is>
          <t>Annual operator ledger, primary park-only boundary</t>
        </is>
      </c>
    </row>
    <row r="40">
      <c r="A40" s="6" t="inlineStr">
        <is>
          <t>Year t</t>
        </is>
      </c>
      <c r="B40" s="6" t="inlineStr">
        <is>
          <t>Discount factor</t>
        </is>
      </c>
      <c r="C40" s="6" t="inlineStr">
        <is>
          <t>Construction flag</t>
        </is>
      </c>
      <c r="D40" s="6" t="inlineStr">
        <is>
          <t>Operating flag</t>
        </is>
      </c>
      <c r="E40" s="6" t="inlineStr">
        <is>
          <t>Capex (THB bn)</t>
        </is>
      </c>
      <c r="F40" s="6" t="inlineStr">
        <is>
          <t>Operator visits (million)</t>
        </is>
      </c>
      <c r="G40" s="6" t="inlineStr">
        <is>
          <t>Revenue (THB bn)</t>
        </is>
      </c>
      <c r="H40" s="6" t="inlineStr">
        <is>
          <t>Cash opex (THB bn)</t>
        </is>
      </c>
      <c r="I40" s="6" t="inlineStr">
        <is>
          <t>Replacement capex (THB bn)</t>
        </is>
      </c>
      <c r="J40" s="6" t="inlineStr">
        <is>
          <t>Pre-tax cash flow</t>
        </is>
      </c>
      <c r="K40" s="6" t="inlineStr">
        <is>
          <t>PV pre-tax</t>
        </is>
      </c>
      <c r="L40" s="6" t="inlineStr">
        <is>
          <t>Tax depreciation (THB bn)</t>
        </is>
      </c>
      <c r="M40" s="6" t="inlineStr">
        <is>
          <t>Taxable income (THB bn)</t>
        </is>
      </c>
      <c r="N40" s="6" t="inlineStr">
        <is>
          <t>Cumulative taxable income</t>
        </is>
      </c>
      <c r="O40" s="6" t="inlineStr">
        <is>
          <t>Cumulative tax due</t>
        </is>
      </c>
      <c r="P40" s="6" t="inlineStr">
        <is>
          <t>Tax paid</t>
        </is>
      </c>
      <c r="Q40" s="6" t="inlineStr">
        <is>
          <t>After-tax cash flow</t>
        </is>
      </c>
      <c r="R40" s="6" t="inlineStr">
        <is>
          <t>PV after-tax</t>
        </is>
      </c>
      <c r="S40" s="6" t="inlineStr">
        <is>
          <t>Cumulative after-tax cash flow</t>
        </is>
      </c>
    </row>
    <row r="41">
      <c r="A41" t="n">
        <v>0</v>
      </c>
      <c r="B41" s="3">
        <f>1/(1+$B$6)^A41</f>
        <v/>
      </c>
      <c r="C41">
        <f>IF(A41&lt;$B$8,1,0)</f>
        <v/>
      </c>
      <c r="D41">
        <f>IF(AND(A41&gt;=$B$8,A41&lt;$B$8+$B$7),1,0)</f>
        <v/>
      </c>
      <c r="E41" s="4">
        <f>C41*$B$9/$B$8</f>
        <v/>
      </c>
      <c r="F41" s="7">
        <f>D41*$B$14</f>
        <v/>
      </c>
      <c r="G41" s="4">
        <f>F41*$B$13/1000</f>
        <v/>
      </c>
      <c r="H41" s="4">
        <f>$B$5*G41</f>
        <v/>
      </c>
      <c r="I41" s="4">
        <f>D41*$B$16*$B$9</f>
        <v/>
      </c>
      <c r="J41" s="4">
        <f>G41-H41-E41-I41</f>
        <v/>
      </c>
      <c r="K41" s="4">
        <f>J41*B41</f>
        <v/>
      </c>
      <c r="L41" s="4">
        <f>IF(AND(A41&gt;=$B$8,A41&lt;$B$8+$B$18),$B$9/$B$18,0)</f>
        <v/>
      </c>
      <c r="M41" s="4">
        <f>G41-H41-L41</f>
        <v/>
      </c>
      <c r="N41" s="4">
        <f>SUM($M$41:M41)</f>
        <v/>
      </c>
      <c r="O41" s="4">
        <f>$B$17*MAX(0,N41)</f>
        <v/>
      </c>
      <c r="P41" s="4">
        <f>MAX(0,O41)</f>
        <v/>
      </c>
      <c r="Q41" s="4">
        <f>J41-P41</f>
        <v/>
      </c>
      <c r="R41" s="4">
        <f>Q41*B41</f>
        <v/>
      </c>
      <c r="S41" s="4">
        <f>SUM($Q$41:Q41)</f>
        <v/>
      </c>
    </row>
    <row r="42">
      <c r="A42" t="n">
        <v>1</v>
      </c>
      <c r="B42" s="3">
        <f>1/(1+$B$6)^A42</f>
        <v/>
      </c>
      <c r="C42">
        <f>IF(A42&lt;$B$8,1,0)</f>
        <v/>
      </c>
      <c r="D42">
        <f>IF(AND(A42&gt;=$B$8,A42&lt;$B$8+$B$7),1,0)</f>
        <v/>
      </c>
      <c r="E42" s="4">
        <f>C42*$B$9/$B$8</f>
        <v/>
      </c>
      <c r="F42" s="7">
        <f>D42*$B$14</f>
        <v/>
      </c>
      <c r="G42" s="4">
        <f>F42*$B$13/1000</f>
        <v/>
      </c>
      <c r="H42" s="4">
        <f>$B$5*G42</f>
        <v/>
      </c>
      <c r="I42" s="4">
        <f>D42*$B$16*$B$9</f>
        <v/>
      </c>
      <c r="J42" s="4">
        <f>G42-H42-E42-I42</f>
        <v/>
      </c>
      <c r="K42" s="4">
        <f>J42*B42</f>
        <v/>
      </c>
      <c r="L42" s="4">
        <f>IF(AND(A42&gt;=$B$8,A42&lt;$B$8+$B$18),$B$9/$B$18,0)</f>
        <v/>
      </c>
      <c r="M42" s="4">
        <f>G42-H42-L42</f>
        <v/>
      </c>
      <c r="N42" s="4">
        <f>SUM($M$41:M42)</f>
        <v/>
      </c>
      <c r="O42" s="4">
        <f>$B$17*MAX(0,N42)</f>
        <v/>
      </c>
      <c r="P42" s="4">
        <f>MAX(0,O42-O41)</f>
        <v/>
      </c>
      <c r="Q42" s="4">
        <f>J42-P42</f>
        <v/>
      </c>
      <c r="R42" s="4">
        <f>Q42*B42</f>
        <v/>
      </c>
      <c r="S42" s="4">
        <f>SUM($Q$41:Q42)</f>
        <v/>
      </c>
    </row>
    <row r="43">
      <c r="A43" t="n">
        <v>2</v>
      </c>
      <c r="B43" s="3">
        <f>1/(1+$B$6)^A43</f>
        <v/>
      </c>
      <c r="C43">
        <f>IF(A43&lt;$B$8,1,0)</f>
        <v/>
      </c>
      <c r="D43">
        <f>IF(AND(A43&gt;=$B$8,A43&lt;$B$8+$B$7),1,0)</f>
        <v/>
      </c>
      <c r="E43" s="4">
        <f>C43*$B$9/$B$8</f>
        <v/>
      </c>
      <c r="F43" s="7">
        <f>D43*$B$14</f>
        <v/>
      </c>
      <c r="G43" s="4">
        <f>F43*$B$13/1000</f>
        <v/>
      </c>
      <c r="H43" s="4">
        <f>$B$5*G43</f>
        <v/>
      </c>
      <c r="I43" s="4">
        <f>D43*$B$16*$B$9</f>
        <v/>
      </c>
      <c r="J43" s="4">
        <f>G43-H43-E43-I43</f>
        <v/>
      </c>
      <c r="K43" s="4">
        <f>J43*B43</f>
        <v/>
      </c>
      <c r="L43" s="4">
        <f>IF(AND(A43&gt;=$B$8,A43&lt;$B$8+$B$18),$B$9/$B$18,0)</f>
        <v/>
      </c>
      <c r="M43" s="4">
        <f>G43-H43-L43</f>
        <v/>
      </c>
      <c r="N43" s="4">
        <f>SUM($M$41:M43)</f>
        <v/>
      </c>
      <c r="O43" s="4">
        <f>$B$17*MAX(0,N43)</f>
        <v/>
      </c>
      <c r="P43" s="4">
        <f>MAX(0,O43-O42)</f>
        <v/>
      </c>
      <c r="Q43" s="4">
        <f>J43-P43</f>
        <v/>
      </c>
      <c r="R43" s="4">
        <f>Q43*B43</f>
        <v/>
      </c>
      <c r="S43" s="4">
        <f>SUM($Q$41:Q43)</f>
        <v/>
      </c>
    </row>
    <row r="44">
      <c r="A44" t="n">
        <v>3</v>
      </c>
      <c r="B44" s="3">
        <f>1/(1+$B$6)^A44</f>
        <v/>
      </c>
      <c r="C44">
        <f>IF(A44&lt;$B$8,1,0)</f>
        <v/>
      </c>
      <c r="D44">
        <f>IF(AND(A44&gt;=$B$8,A44&lt;$B$8+$B$7),1,0)</f>
        <v/>
      </c>
      <c r="E44" s="4">
        <f>C44*$B$9/$B$8</f>
        <v/>
      </c>
      <c r="F44" s="7">
        <f>D44*$B$14</f>
        <v/>
      </c>
      <c r="G44" s="4">
        <f>F44*$B$13/1000</f>
        <v/>
      </c>
      <c r="H44" s="4">
        <f>$B$5*G44</f>
        <v/>
      </c>
      <c r="I44" s="4">
        <f>D44*$B$16*$B$9</f>
        <v/>
      </c>
      <c r="J44" s="4">
        <f>G44-H44-E44-I44</f>
        <v/>
      </c>
      <c r="K44" s="4">
        <f>J44*B44</f>
        <v/>
      </c>
      <c r="L44" s="4">
        <f>IF(AND(A44&gt;=$B$8,A44&lt;$B$8+$B$18),$B$9/$B$18,0)</f>
        <v/>
      </c>
      <c r="M44" s="4">
        <f>G44-H44-L44</f>
        <v/>
      </c>
      <c r="N44" s="4">
        <f>SUM($M$41:M44)</f>
        <v/>
      </c>
      <c r="O44" s="4">
        <f>$B$17*MAX(0,N44)</f>
        <v/>
      </c>
      <c r="P44" s="4">
        <f>MAX(0,O44-O43)</f>
        <v/>
      </c>
      <c r="Q44" s="4">
        <f>J44-P44</f>
        <v/>
      </c>
      <c r="R44" s="4">
        <f>Q44*B44</f>
        <v/>
      </c>
      <c r="S44" s="4">
        <f>SUM($Q$41:Q44)</f>
        <v/>
      </c>
    </row>
    <row r="45">
      <c r="A45" t="n">
        <v>4</v>
      </c>
      <c r="B45" s="3">
        <f>1/(1+$B$6)^A45</f>
        <v/>
      </c>
      <c r="C45">
        <f>IF(A45&lt;$B$8,1,0)</f>
        <v/>
      </c>
      <c r="D45">
        <f>IF(AND(A45&gt;=$B$8,A45&lt;$B$8+$B$7),1,0)</f>
        <v/>
      </c>
      <c r="E45" s="4">
        <f>C45*$B$9/$B$8</f>
        <v/>
      </c>
      <c r="F45" s="7">
        <f>D45*$B$14</f>
        <v/>
      </c>
      <c r="G45" s="4">
        <f>F45*$B$13/1000</f>
        <v/>
      </c>
      <c r="H45" s="4">
        <f>$B$5*G45</f>
        <v/>
      </c>
      <c r="I45" s="4">
        <f>D45*$B$16*$B$9</f>
        <v/>
      </c>
      <c r="J45" s="4">
        <f>G45-H45-E45-I45</f>
        <v/>
      </c>
      <c r="K45" s="4">
        <f>J45*B45</f>
        <v/>
      </c>
      <c r="L45" s="4">
        <f>IF(AND(A45&gt;=$B$8,A45&lt;$B$8+$B$18),$B$9/$B$18,0)</f>
        <v/>
      </c>
      <c r="M45" s="4">
        <f>G45-H45-L45</f>
        <v/>
      </c>
      <c r="N45" s="4">
        <f>SUM($M$41:M45)</f>
        <v/>
      </c>
      <c r="O45" s="4">
        <f>$B$17*MAX(0,N45)</f>
        <v/>
      </c>
      <c r="P45" s="4">
        <f>MAX(0,O45-O44)</f>
        <v/>
      </c>
      <c r="Q45" s="4">
        <f>J45-P45</f>
        <v/>
      </c>
      <c r="R45" s="4">
        <f>Q45*B45</f>
        <v/>
      </c>
      <c r="S45" s="4">
        <f>SUM($Q$41:Q45)</f>
        <v/>
      </c>
    </row>
    <row r="46">
      <c r="A46" t="n">
        <v>5</v>
      </c>
      <c r="B46" s="3">
        <f>1/(1+$B$6)^A46</f>
        <v/>
      </c>
      <c r="C46">
        <f>IF(A46&lt;$B$8,1,0)</f>
        <v/>
      </c>
      <c r="D46">
        <f>IF(AND(A46&gt;=$B$8,A46&lt;$B$8+$B$7),1,0)</f>
        <v/>
      </c>
      <c r="E46" s="4">
        <f>C46*$B$9/$B$8</f>
        <v/>
      </c>
      <c r="F46" s="7">
        <f>D46*$B$14</f>
        <v/>
      </c>
      <c r="G46" s="4">
        <f>F46*$B$13/1000</f>
        <v/>
      </c>
      <c r="H46" s="4">
        <f>$B$5*G46</f>
        <v/>
      </c>
      <c r="I46" s="4">
        <f>D46*$B$16*$B$9</f>
        <v/>
      </c>
      <c r="J46" s="4">
        <f>G46-H46-E46-I46</f>
        <v/>
      </c>
      <c r="K46" s="4">
        <f>J46*B46</f>
        <v/>
      </c>
      <c r="L46" s="4">
        <f>IF(AND(A46&gt;=$B$8,A46&lt;$B$8+$B$18),$B$9/$B$18,0)</f>
        <v/>
      </c>
      <c r="M46" s="4">
        <f>G46-H46-L46</f>
        <v/>
      </c>
      <c r="N46" s="4">
        <f>SUM($M$41:M46)</f>
        <v/>
      </c>
      <c r="O46" s="4">
        <f>$B$17*MAX(0,N46)</f>
        <v/>
      </c>
      <c r="P46" s="4">
        <f>MAX(0,O46-O45)</f>
        <v/>
      </c>
      <c r="Q46" s="4">
        <f>J46-P46</f>
        <v/>
      </c>
      <c r="R46" s="4">
        <f>Q46*B46</f>
        <v/>
      </c>
      <c r="S46" s="4">
        <f>SUM($Q$41:Q46)</f>
        <v/>
      </c>
    </row>
    <row r="47">
      <c r="A47" t="n">
        <v>6</v>
      </c>
      <c r="B47" s="3">
        <f>1/(1+$B$6)^A47</f>
        <v/>
      </c>
      <c r="C47">
        <f>IF(A47&lt;$B$8,1,0)</f>
        <v/>
      </c>
      <c r="D47">
        <f>IF(AND(A47&gt;=$B$8,A47&lt;$B$8+$B$7),1,0)</f>
        <v/>
      </c>
      <c r="E47" s="4">
        <f>C47*$B$9/$B$8</f>
        <v/>
      </c>
      <c r="F47" s="7">
        <f>D47*$B$14</f>
        <v/>
      </c>
      <c r="G47" s="4">
        <f>F47*$B$13/1000</f>
        <v/>
      </c>
      <c r="H47" s="4">
        <f>$B$5*G47</f>
        <v/>
      </c>
      <c r="I47" s="4">
        <f>D47*$B$16*$B$9</f>
        <v/>
      </c>
      <c r="J47" s="4">
        <f>G47-H47-E47-I47</f>
        <v/>
      </c>
      <c r="K47" s="4">
        <f>J47*B47</f>
        <v/>
      </c>
      <c r="L47" s="4">
        <f>IF(AND(A47&gt;=$B$8,A47&lt;$B$8+$B$18),$B$9/$B$18,0)</f>
        <v/>
      </c>
      <c r="M47" s="4">
        <f>G47-H47-L47</f>
        <v/>
      </c>
      <c r="N47" s="4">
        <f>SUM($M$41:M47)</f>
        <v/>
      </c>
      <c r="O47" s="4">
        <f>$B$17*MAX(0,N47)</f>
        <v/>
      </c>
      <c r="P47" s="4">
        <f>MAX(0,O47-O46)</f>
        <v/>
      </c>
      <c r="Q47" s="4">
        <f>J47-P47</f>
        <v/>
      </c>
      <c r="R47" s="4">
        <f>Q47*B47</f>
        <v/>
      </c>
      <c r="S47" s="4">
        <f>SUM($Q$41:Q47)</f>
        <v/>
      </c>
    </row>
    <row r="48">
      <c r="A48" t="n">
        <v>7</v>
      </c>
      <c r="B48" s="3">
        <f>1/(1+$B$6)^A48</f>
        <v/>
      </c>
      <c r="C48">
        <f>IF(A48&lt;$B$8,1,0)</f>
        <v/>
      </c>
      <c r="D48">
        <f>IF(AND(A48&gt;=$B$8,A48&lt;$B$8+$B$7),1,0)</f>
        <v/>
      </c>
      <c r="E48" s="4">
        <f>C48*$B$9/$B$8</f>
        <v/>
      </c>
      <c r="F48" s="7">
        <f>D48*$B$14</f>
        <v/>
      </c>
      <c r="G48" s="4">
        <f>F48*$B$13/1000</f>
        <v/>
      </c>
      <c r="H48" s="4">
        <f>$B$5*G48</f>
        <v/>
      </c>
      <c r="I48" s="4">
        <f>D48*$B$16*$B$9</f>
        <v/>
      </c>
      <c r="J48" s="4">
        <f>G48-H48-E48-I48</f>
        <v/>
      </c>
      <c r="K48" s="4">
        <f>J48*B48</f>
        <v/>
      </c>
      <c r="L48" s="4">
        <f>IF(AND(A48&gt;=$B$8,A48&lt;$B$8+$B$18),$B$9/$B$18,0)</f>
        <v/>
      </c>
      <c r="M48" s="4">
        <f>G48-H48-L48</f>
        <v/>
      </c>
      <c r="N48" s="4">
        <f>SUM($M$41:M48)</f>
        <v/>
      </c>
      <c r="O48" s="4">
        <f>$B$17*MAX(0,N48)</f>
        <v/>
      </c>
      <c r="P48" s="4">
        <f>MAX(0,O48-O47)</f>
        <v/>
      </c>
      <c r="Q48" s="4">
        <f>J48-P48</f>
        <v/>
      </c>
      <c r="R48" s="4">
        <f>Q48*B48</f>
        <v/>
      </c>
      <c r="S48" s="4">
        <f>SUM($Q$41:Q48)</f>
        <v/>
      </c>
    </row>
    <row r="49">
      <c r="A49" t="n">
        <v>8</v>
      </c>
      <c r="B49" s="3">
        <f>1/(1+$B$6)^A49</f>
        <v/>
      </c>
      <c r="C49">
        <f>IF(A49&lt;$B$8,1,0)</f>
        <v/>
      </c>
      <c r="D49">
        <f>IF(AND(A49&gt;=$B$8,A49&lt;$B$8+$B$7),1,0)</f>
        <v/>
      </c>
      <c r="E49" s="4">
        <f>C49*$B$9/$B$8</f>
        <v/>
      </c>
      <c r="F49" s="7">
        <f>D49*$B$14</f>
        <v/>
      </c>
      <c r="G49" s="4">
        <f>F49*$B$13/1000</f>
        <v/>
      </c>
      <c r="H49" s="4">
        <f>$B$5*G49</f>
        <v/>
      </c>
      <c r="I49" s="4">
        <f>D49*$B$16*$B$9</f>
        <v/>
      </c>
      <c r="J49" s="4">
        <f>G49-H49-E49-I49</f>
        <v/>
      </c>
      <c r="K49" s="4">
        <f>J49*B49</f>
        <v/>
      </c>
      <c r="L49" s="4">
        <f>IF(AND(A49&gt;=$B$8,A49&lt;$B$8+$B$18),$B$9/$B$18,0)</f>
        <v/>
      </c>
      <c r="M49" s="4">
        <f>G49-H49-L49</f>
        <v/>
      </c>
      <c r="N49" s="4">
        <f>SUM($M$41:M49)</f>
        <v/>
      </c>
      <c r="O49" s="4">
        <f>$B$17*MAX(0,N49)</f>
        <v/>
      </c>
      <c r="P49" s="4">
        <f>MAX(0,O49-O48)</f>
        <v/>
      </c>
      <c r="Q49" s="4">
        <f>J49-P49</f>
        <v/>
      </c>
      <c r="R49" s="4">
        <f>Q49*B49</f>
        <v/>
      </c>
      <c r="S49" s="4">
        <f>SUM($Q$41:Q49)</f>
        <v/>
      </c>
    </row>
    <row r="50">
      <c r="A50" t="n">
        <v>9</v>
      </c>
      <c r="B50" s="3">
        <f>1/(1+$B$6)^A50</f>
        <v/>
      </c>
      <c r="C50">
        <f>IF(A50&lt;$B$8,1,0)</f>
        <v/>
      </c>
      <c r="D50">
        <f>IF(AND(A50&gt;=$B$8,A50&lt;$B$8+$B$7),1,0)</f>
        <v/>
      </c>
      <c r="E50" s="4">
        <f>C50*$B$9/$B$8</f>
        <v/>
      </c>
      <c r="F50" s="7">
        <f>D50*$B$14</f>
        <v/>
      </c>
      <c r="G50" s="4">
        <f>F50*$B$13/1000</f>
        <v/>
      </c>
      <c r="H50" s="4">
        <f>$B$5*G50</f>
        <v/>
      </c>
      <c r="I50" s="4">
        <f>D50*$B$16*$B$9</f>
        <v/>
      </c>
      <c r="J50" s="4">
        <f>G50-H50-E50-I50</f>
        <v/>
      </c>
      <c r="K50" s="4">
        <f>J50*B50</f>
        <v/>
      </c>
      <c r="L50" s="4">
        <f>IF(AND(A50&gt;=$B$8,A50&lt;$B$8+$B$18),$B$9/$B$18,0)</f>
        <v/>
      </c>
      <c r="M50" s="4">
        <f>G50-H50-L50</f>
        <v/>
      </c>
      <c r="N50" s="4">
        <f>SUM($M$41:M50)</f>
        <v/>
      </c>
      <c r="O50" s="4">
        <f>$B$17*MAX(0,N50)</f>
        <v/>
      </c>
      <c r="P50" s="4">
        <f>MAX(0,O50-O49)</f>
        <v/>
      </c>
      <c r="Q50" s="4">
        <f>J50-P50</f>
        <v/>
      </c>
      <c r="R50" s="4">
        <f>Q50*B50</f>
        <v/>
      </c>
      <c r="S50" s="4">
        <f>SUM($Q$41:Q50)</f>
        <v/>
      </c>
    </row>
    <row r="51">
      <c r="A51" t="n">
        <v>10</v>
      </c>
      <c r="B51" s="3">
        <f>1/(1+$B$6)^A51</f>
        <v/>
      </c>
      <c r="C51">
        <f>IF(A51&lt;$B$8,1,0)</f>
        <v/>
      </c>
      <c r="D51">
        <f>IF(AND(A51&gt;=$B$8,A51&lt;$B$8+$B$7),1,0)</f>
        <v/>
      </c>
      <c r="E51" s="4">
        <f>C51*$B$9/$B$8</f>
        <v/>
      </c>
      <c r="F51" s="7">
        <f>D51*$B$14</f>
        <v/>
      </c>
      <c r="G51" s="4">
        <f>F51*$B$13/1000</f>
        <v/>
      </c>
      <c r="H51" s="4">
        <f>$B$5*G51</f>
        <v/>
      </c>
      <c r="I51" s="4">
        <f>D51*$B$16*$B$9</f>
        <v/>
      </c>
      <c r="J51" s="4">
        <f>G51-H51-E51-I51</f>
        <v/>
      </c>
      <c r="K51" s="4">
        <f>J51*B51</f>
        <v/>
      </c>
      <c r="L51" s="4">
        <f>IF(AND(A51&gt;=$B$8,A51&lt;$B$8+$B$18),$B$9/$B$18,0)</f>
        <v/>
      </c>
      <c r="M51" s="4">
        <f>G51-H51-L51</f>
        <v/>
      </c>
      <c r="N51" s="4">
        <f>SUM($M$41:M51)</f>
        <v/>
      </c>
      <c r="O51" s="4">
        <f>$B$17*MAX(0,N51)</f>
        <v/>
      </c>
      <c r="P51" s="4">
        <f>MAX(0,O51-O50)</f>
        <v/>
      </c>
      <c r="Q51" s="4">
        <f>J51-P51</f>
        <v/>
      </c>
      <c r="R51" s="4">
        <f>Q51*B51</f>
        <v/>
      </c>
      <c r="S51" s="4">
        <f>SUM($Q$41:Q51)</f>
        <v/>
      </c>
    </row>
    <row r="52">
      <c r="A52" t="n">
        <v>11</v>
      </c>
      <c r="B52" s="3">
        <f>1/(1+$B$6)^A52</f>
        <v/>
      </c>
      <c r="C52">
        <f>IF(A52&lt;$B$8,1,0)</f>
        <v/>
      </c>
      <c r="D52">
        <f>IF(AND(A52&gt;=$B$8,A52&lt;$B$8+$B$7),1,0)</f>
        <v/>
      </c>
      <c r="E52" s="4">
        <f>C52*$B$9/$B$8</f>
        <v/>
      </c>
      <c r="F52" s="7">
        <f>D52*$B$14</f>
        <v/>
      </c>
      <c r="G52" s="4">
        <f>F52*$B$13/1000</f>
        <v/>
      </c>
      <c r="H52" s="4">
        <f>$B$5*G52</f>
        <v/>
      </c>
      <c r="I52" s="4">
        <f>D52*$B$16*$B$9</f>
        <v/>
      </c>
      <c r="J52" s="4">
        <f>G52-H52-E52-I52</f>
        <v/>
      </c>
      <c r="K52" s="4">
        <f>J52*B52</f>
        <v/>
      </c>
      <c r="L52" s="4">
        <f>IF(AND(A52&gt;=$B$8,A52&lt;$B$8+$B$18),$B$9/$B$18,0)</f>
        <v/>
      </c>
      <c r="M52" s="4">
        <f>G52-H52-L52</f>
        <v/>
      </c>
      <c r="N52" s="4">
        <f>SUM($M$41:M52)</f>
        <v/>
      </c>
      <c r="O52" s="4">
        <f>$B$17*MAX(0,N52)</f>
        <v/>
      </c>
      <c r="P52" s="4">
        <f>MAX(0,O52-O51)</f>
        <v/>
      </c>
      <c r="Q52" s="4">
        <f>J52-P52</f>
        <v/>
      </c>
      <c r="R52" s="4">
        <f>Q52*B52</f>
        <v/>
      </c>
      <c r="S52" s="4">
        <f>SUM($Q$41:Q52)</f>
        <v/>
      </c>
    </row>
    <row r="53">
      <c r="A53" t="n">
        <v>12</v>
      </c>
      <c r="B53" s="3">
        <f>1/(1+$B$6)^A53</f>
        <v/>
      </c>
      <c r="C53">
        <f>IF(A53&lt;$B$8,1,0)</f>
        <v/>
      </c>
      <c r="D53">
        <f>IF(AND(A53&gt;=$B$8,A53&lt;$B$8+$B$7),1,0)</f>
        <v/>
      </c>
      <c r="E53" s="4">
        <f>C53*$B$9/$B$8</f>
        <v/>
      </c>
      <c r="F53" s="7">
        <f>D53*$B$14</f>
        <v/>
      </c>
      <c r="G53" s="4">
        <f>F53*$B$13/1000</f>
        <v/>
      </c>
      <c r="H53" s="4">
        <f>$B$5*G53</f>
        <v/>
      </c>
      <c r="I53" s="4">
        <f>D53*$B$16*$B$9</f>
        <v/>
      </c>
      <c r="J53" s="4">
        <f>G53-H53-E53-I53</f>
        <v/>
      </c>
      <c r="K53" s="4">
        <f>J53*B53</f>
        <v/>
      </c>
      <c r="L53" s="4">
        <f>IF(AND(A53&gt;=$B$8,A53&lt;$B$8+$B$18),$B$9/$B$18,0)</f>
        <v/>
      </c>
      <c r="M53" s="4">
        <f>G53-H53-L53</f>
        <v/>
      </c>
      <c r="N53" s="4">
        <f>SUM($M$41:M53)</f>
        <v/>
      </c>
      <c r="O53" s="4">
        <f>$B$17*MAX(0,N53)</f>
        <v/>
      </c>
      <c r="P53" s="4">
        <f>MAX(0,O53-O52)</f>
        <v/>
      </c>
      <c r="Q53" s="4">
        <f>J53-P53</f>
        <v/>
      </c>
      <c r="R53" s="4">
        <f>Q53*B53</f>
        <v/>
      </c>
      <c r="S53" s="4">
        <f>SUM($Q$41:Q53)</f>
        <v/>
      </c>
    </row>
    <row r="54">
      <c r="A54" t="n">
        <v>13</v>
      </c>
      <c r="B54" s="3">
        <f>1/(1+$B$6)^A54</f>
        <v/>
      </c>
      <c r="C54">
        <f>IF(A54&lt;$B$8,1,0)</f>
        <v/>
      </c>
      <c r="D54">
        <f>IF(AND(A54&gt;=$B$8,A54&lt;$B$8+$B$7),1,0)</f>
        <v/>
      </c>
      <c r="E54" s="4">
        <f>C54*$B$9/$B$8</f>
        <v/>
      </c>
      <c r="F54" s="7">
        <f>D54*$B$14</f>
        <v/>
      </c>
      <c r="G54" s="4">
        <f>F54*$B$13/1000</f>
        <v/>
      </c>
      <c r="H54" s="4">
        <f>$B$5*G54</f>
        <v/>
      </c>
      <c r="I54" s="4">
        <f>D54*$B$16*$B$9</f>
        <v/>
      </c>
      <c r="J54" s="4">
        <f>G54-H54-E54-I54</f>
        <v/>
      </c>
      <c r="K54" s="4">
        <f>J54*B54</f>
        <v/>
      </c>
      <c r="L54" s="4">
        <f>IF(AND(A54&gt;=$B$8,A54&lt;$B$8+$B$18),$B$9/$B$18,0)</f>
        <v/>
      </c>
      <c r="M54" s="4">
        <f>G54-H54-L54</f>
        <v/>
      </c>
      <c r="N54" s="4">
        <f>SUM($M$41:M54)</f>
        <v/>
      </c>
      <c r="O54" s="4">
        <f>$B$17*MAX(0,N54)</f>
        <v/>
      </c>
      <c r="P54" s="4">
        <f>MAX(0,O54-O53)</f>
        <v/>
      </c>
      <c r="Q54" s="4">
        <f>J54-P54</f>
        <v/>
      </c>
      <c r="R54" s="4">
        <f>Q54*B54</f>
        <v/>
      </c>
      <c r="S54" s="4">
        <f>SUM($Q$41:Q54)</f>
        <v/>
      </c>
    </row>
    <row r="55">
      <c r="A55" t="n">
        <v>14</v>
      </c>
      <c r="B55" s="3">
        <f>1/(1+$B$6)^A55</f>
        <v/>
      </c>
      <c r="C55">
        <f>IF(A55&lt;$B$8,1,0)</f>
        <v/>
      </c>
      <c r="D55">
        <f>IF(AND(A55&gt;=$B$8,A55&lt;$B$8+$B$7),1,0)</f>
        <v/>
      </c>
      <c r="E55" s="4">
        <f>C55*$B$9/$B$8</f>
        <v/>
      </c>
      <c r="F55" s="7">
        <f>D55*$B$14</f>
        <v/>
      </c>
      <c r="G55" s="4">
        <f>F55*$B$13/1000</f>
        <v/>
      </c>
      <c r="H55" s="4">
        <f>$B$5*G55</f>
        <v/>
      </c>
      <c r="I55" s="4">
        <f>D55*$B$16*$B$9</f>
        <v/>
      </c>
      <c r="J55" s="4">
        <f>G55-H55-E55-I55</f>
        <v/>
      </c>
      <c r="K55" s="4">
        <f>J55*B55</f>
        <v/>
      </c>
      <c r="L55" s="4">
        <f>IF(AND(A55&gt;=$B$8,A55&lt;$B$8+$B$18),$B$9/$B$18,0)</f>
        <v/>
      </c>
      <c r="M55" s="4">
        <f>G55-H55-L55</f>
        <v/>
      </c>
      <c r="N55" s="4">
        <f>SUM($M$41:M55)</f>
        <v/>
      </c>
      <c r="O55" s="4">
        <f>$B$17*MAX(0,N55)</f>
        <v/>
      </c>
      <c r="P55" s="4">
        <f>MAX(0,O55-O54)</f>
        <v/>
      </c>
      <c r="Q55" s="4">
        <f>J55-P55</f>
        <v/>
      </c>
      <c r="R55" s="4">
        <f>Q55*B55</f>
        <v/>
      </c>
      <c r="S55" s="4">
        <f>SUM($Q$41:Q55)</f>
        <v/>
      </c>
    </row>
    <row r="56">
      <c r="A56" t="n">
        <v>15</v>
      </c>
      <c r="B56" s="3">
        <f>1/(1+$B$6)^A56</f>
        <v/>
      </c>
      <c r="C56">
        <f>IF(A56&lt;$B$8,1,0)</f>
        <v/>
      </c>
      <c r="D56">
        <f>IF(AND(A56&gt;=$B$8,A56&lt;$B$8+$B$7),1,0)</f>
        <v/>
      </c>
      <c r="E56" s="4">
        <f>C56*$B$9/$B$8</f>
        <v/>
      </c>
      <c r="F56" s="7">
        <f>D56*$B$14</f>
        <v/>
      </c>
      <c r="G56" s="4">
        <f>F56*$B$13/1000</f>
        <v/>
      </c>
      <c r="H56" s="4">
        <f>$B$5*G56</f>
        <v/>
      </c>
      <c r="I56" s="4">
        <f>D56*$B$16*$B$9</f>
        <v/>
      </c>
      <c r="J56" s="4">
        <f>G56-H56-E56-I56</f>
        <v/>
      </c>
      <c r="K56" s="4">
        <f>J56*B56</f>
        <v/>
      </c>
      <c r="L56" s="4">
        <f>IF(AND(A56&gt;=$B$8,A56&lt;$B$8+$B$18),$B$9/$B$18,0)</f>
        <v/>
      </c>
      <c r="M56" s="4">
        <f>G56-H56-L56</f>
        <v/>
      </c>
      <c r="N56" s="4">
        <f>SUM($M$41:M56)</f>
        <v/>
      </c>
      <c r="O56" s="4">
        <f>$B$17*MAX(0,N56)</f>
        <v/>
      </c>
      <c r="P56" s="4">
        <f>MAX(0,O56-O55)</f>
        <v/>
      </c>
      <c r="Q56" s="4">
        <f>J56-P56</f>
        <v/>
      </c>
      <c r="R56" s="4">
        <f>Q56*B56</f>
        <v/>
      </c>
      <c r="S56" s="4">
        <f>SUM($Q$41:Q56)</f>
        <v/>
      </c>
    </row>
    <row r="57">
      <c r="A57" t="n">
        <v>16</v>
      </c>
      <c r="B57" s="3">
        <f>1/(1+$B$6)^A57</f>
        <v/>
      </c>
      <c r="C57">
        <f>IF(A57&lt;$B$8,1,0)</f>
        <v/>
      </c>
      <c r="D57">
        <f>IF(AND(A57&gt;=$B$8,A57&lt;$B$8+$B$7),1,0)</f>
        <v/>
      </c>
      <c r="E57" s="4">
        <f>C57*$B$9/$B$8</f>
        <v/>
      </c>
      <c r="F57" s="7">
        <f>D57*$B$14</f>
        <v/>
      </c>
      <c r="G57" s="4">
        <f>F57*$B$13/1000</f>
        <v/>
      </c>
      <c r="H57" s="4">
        <f>$B$5*G57</f>
        <v/>
      </c>
      <c r="I57" s="4">
        <f>D57*$B$16*$B$9</f>
        <v/>
      </c>
      <c r="J57" s="4">
        <f>G57-H57-E57-I57</f>
        <v/>
      </c>
      <c r="K57" s="4">
        <f>J57*B57</f>
        <v/>
      </c>
      <c r="L57" s="4">
        <f>IF(AND(A57&gt;=$B$8,A57&lt;$B$8+$B$18),$B$9/$B$18,0)</f>
        <v/>
      </c>
      <c r="M57" s="4">
        <f>G57-H57-L57</f>
        <v/>
      </c>
      <c r="N57" s="4">
        <f>SUM($M$41:M57)</f>
        <v/>
      </c>
      <c r="O57" s="4">
        <f>$B$17*MAX(0,N57)</f>
        <v/>
      </c>
      <c r="P57" s="4">
        <f>MAX(0,O57-O56)</f>
        <v/>
      </c>
      <c r="Q57" s="4">
        <f>J57-P57</f>
        <v/>
      </c>
      <c r="R57" s="4">
        <f>Q57*B57</f>
        <v/>
      </c>
      <c r="S57" s="4">
        <f>SUM($Q$41:Q57)</f>
        <v/>
      </c>
    </row>
    <row r="58">
      <c r="A58" t="n">
        <v>17</v>
      </c>
      <c r="B58" s="3">
        <f>1/(1+$B$6)^A58</f>
        <v/>
      </c>
      <c r="C58">
        <f>IF(A58&lt;$B$8,1,0)</f>
        <v/>
      </c>
      <c r="D58">
        <f>IF(AND(A58&gt;=$B$8,A58&lt;$B$8+$B$7),1,0)</f>
        <v/>
      </c>
      <c r="E58" s="4">
        <f>C58*$B$9/$B$8</f>
        <v/>
      </c>
      <c r="F58" s="7">
        <f>D58*$B$14</f>
        <v/>
      </c>
      <c r="G58" s="4">
        <f>F58*$B$13/1000</f>
        <v/>
      </c>
      <c r="H58" s="4">
        <f>$B$5*G58</f>
        <v/>
      </c>
      <c r="I58" s="4">
        <f>D58*$B$16*$B$9</f>
        <v/>
      </c>
      <c r="J58" s="4">
        <f>G58-H58-E58-I58</f>
        <v/>
      </c>
      <c r="K58" s="4">
        <f>J58*B58</f>
        <v/>
      </c>
      <c r="L58" s="4">
        <f>IF(AND(A58&gt;=$B$8,A58&lt;$B$8+$B$18),$B$9/$B$18,0)</f>
        <v/>
      </c>
      <c r="M58" s="4">
        <f>G58-H58-L58</f>
        <v/>
      </c>
      <c r="N58" s="4">
        <f>SUM($M$41:M58)</f>
        <v/>
      </c>
      <c r="O58" s="4">
        <f>$B$17*MAX(0,N58)</f>
        <v/>
      </c>
      <c r="P58" s="4">
        <f>MAX(0,O58-O57)</f>
        <v/>
      </c>
      <c r="Q58" s="4">
        <f>J58-P58</f>
        <v/>
      </c>
      <c r="R58" s="4">
        <f>Q58*B58</f>
        <v/>
      </c>
      <c r="S58" s="4">
        <f>SUM($Q$41:Q58)</f>
        <v/>
      </c>
    </row>
    <row r="59">
      <c r="A59" t="n">
        <v>18</v>
      </c>
      <c r="B59" s="3">
        <f>1/(1+$B$6)^A59</f>
        <v/>
      </c>
      <c r="C59">
        <f>IF(A59&lt;$B$8,1,0)</f>
        <v/>
      </c>
      <c r="D59">
        <f>IF(AND(A59&gt;=$B$8,A59&lt;$B$8+$B$7),1,0)</f>
        <v/>
      </c>
      <c r="E59" s="4">
        <f>C59*$B$9/$B$8</f>
        <v/>
      </c>
      <c r="F59" s="7">
        <f>D59*$B$14</f>
        <v/>
      </c>
      <c r="G59" s="4">
        <f>F59*$B$13/1000</f>
        <v/>
      </c>
      <c r="H59" s="4">
        <f>$B$5*G59</f>
        <v/>
      </c>
      <c r="I59" s="4">
        <f>D59*$B$16*$B$9</f>
        <v/>
      </c>
      <c r="J59" s="4">
        <f>G59-H59-E59-I59</f>
        <v/>
      </c>
      <c r="K59" s="4">
        <f>J59*B59</f>
        <v/>
      </c>
      <c r="L59" s="4">
        <f>IF(AND(A59&gt;=$B$8,A59&lt;$B$8+$B$18),$B$9/$B$18,0)</f>
        <v/>
      </c>
      <c r="M59" s="4">
        <f>G59-H59-L59</f>
        <v/>
      </c>
      <c r="N59" s="4">
        <f>SUM($M$41:M59)</f>
        <v/>
      </c>
      <c r="O59" s="4">
        <f>$B$17*MAX(0,N59)</f>
        <v/>
      </c>
      <c r="P59" s="4">
        <f>MAX(0,O59-O58)</f>
        <v/>
      </c>
      <c r="Q59" s="4">
        <f>J59-P59</f>
        <v/>
      </c>
      <c r="R59" s="4">
        <f>Q59*B59</f>
        <v/>
      </c>
      <c r="S59" s="4">
        <f>SUM($Q$41:Q59)</f>
        <v/>
      </c>
    </row>
    <row r="60">
      <c r="A60" t="n">
        <v>19</v>
      </c>
      <c r="B60" s="3">
        <f>1/(1+$B$6)^A60</f>
        <v/>
      </c>
      <c r="C60">
        <f>IF(A60&lt;$B$8,1,0)</f>
        <v/>
      </c>
      <c r="D60">
        <f>IF(AND(A60&gt;=$B$8,A60&lt;$B$8+$B$7),1,0)</f>
        <v/>
      </c>
      <c r="E60" s="4">
        <f>C60*$B$9/$B$8</f>
        <v/>
      </c>
      <c r="F60" s="7">
        <f>D60*$B$14</f>
        <v/>
      </c>
      <c r="G60" s="4">
        <f>F60*$B$13/1000</f>
        <v/>
      </c>
      <c r="H60" s="4">
        <f>$B$5*G60</f>
        <v/>
      </c>
      <c r="I60" s="4">
        <f>D60*$B$16*$B$9</f>
        <v/>
      </c>
      <c r="J60" s="4">
        <f>G60-H60-E60-I60</f>
        <v/>
      </c>
      <c r="K60" s="4">
        <f>J60*B60</f>
        <v/>
      </c>
      <c r="L60" s="4">
        <f>IF(AND(A60&gt;=$B$8,A60&lt;$B$8+$B$18),$B$9/$B$18,0)</f>
        <v/>
      </c>
      <c r="M60" s="4">
        <f>G60-H60-L60</f>
        <v/>
      </c>
      <c r="N60" s="4">
        <f>SUM($M$41:M60)</f>
        <v/>
      </c>
      <c r="O60" s="4">
        <f>$B$17*MAX(0,N60)</f>
        <v/>
      </c>
      <c r="P60" s="4">
        <f>MAX(0,O60-O59)</f>
        <v/>
      </c>
      <c r="Q60" s="4">
        <f>J60-P60</f>
        <v/>
      </c>
      <c r="R60" s="4">
        <f>Q60*B60</f>
        <v/>
      </c>
      <c r="S60" s="4">
        <f>SUM($Q$41:Q60)</f>
        <v/>
      </c>
    </row>
    <row r="61">
      <c r="A61" t="n">
        <v>20</v>
      </c>
      <c r="B61" s="3">
        <f>1/(1+$B$6)^A61</f>
        <v/>
      </c>
      <c r="C61">
        <f>IF(A61&lt;$B$8,1,0)</f>
        <v/>
      </c>
      <c r="D61">
        <f>IF(AND(A61&gt;=$B$8,A61&lt;$B$8+$B$7),1,0)</f>
        <v/>
      </c>
      <c r="E61" s="4">
        <f>C61*$B$9/$B$8</f>
        <v/>
      </c>
      <c r="F61" s="7">
        <f>D61*$B$14</f>
        <v/>
      </c>
      <c r="G61" s="4">
        <f>F61*$B$13/1000</f>
        <v/>
      </c>
      <c r="H61" s="4">
        <f>$B$5*G61</f>
        <v/>
      </c>
      <c r="I61" s="4">
        <f>D61*$B$16*$B$9</f>
        <v/>
      </c>
      <c r="J61" s="4">
        <f>G61-H61-E61-I61</f>
        <v/>
      </c>
      <c r="K61" s="4">
        <f>J61*B61</f>
        <v/>
      </c>
      <c r="L61" s="4">
        <f>IF(AND(A61&gt;=$B$8,A61&lt;$B$8+$B$18),$B$9/$B$18,0)</f>
        <v/>
      </c>
      <c r="M61" s="4">
        <f>G61-H61-L61</f>
        <v/>
      </c>
      <c r="N61" s="4">
        <f>SUM($M$41:M61)</f>
        <v/>
      </c>
      <c r="O61" s="4">
        <f>$B$17*MAX(0,N61)</f>
        <v/>
      </c>
      <c r="P61" s="4">
        <f>MAX(0,O61-O60)</f>
        <v/>
      </c>
      <c r="Q61" s="4">
        <f>J61-P61</f>
        <v/>
      </c>
      <c r="R61" s="4">
        <f>Q61*B61</f>
        <v/>
      </c>
      <c r="S61" s="4">
        <f>SUM($Q$41:Q61)</f>
        <v/>
      </c>
    </row>
    <row r="62">
      <c r="A62" t="n">
        <v>21</v>
      </c>
      <c r="B62" s="3">
        <f>1/(1+$B$6)^A62</f>
        <v/>
      </c>
      <c r="C62">
        <f>IF(A62&lt;$B$8,1,0)</f>
        <v/>
      </c>
      <c r="D62">
        <f>IF(AND(A62&gt;=$B$8,A62&lt;$B$8+$B$7),1,0)</f>
        <v/>
      </c>
      <c r="E62" s="4">
        <f>C62*$B$9/$B$8</f>
        <v/>
      </c>
      <c r="F62" s="7">
        <f>D62*$B$14</f>
        <v/>
      </c>
      <c r="G62" s="4">
        <f>F62*$B$13/1000</f>
        <v/>
      </c>
      <c r="H62" s="4">
        <f>$B$5*G62</f>
        <v/>
      </c>
      <c r="I62" s="4">
        <f>D62*$B$16*$B$9</f>
        <v/>
      </c>
      <c r="J62" s="4">
        <f>G62-H62-E62-I62</f>
        <v/>
      </c>
      <c r="K62" s="4">
        <f>J62*B62</f>
        <v/>
      </c>
      <c r="L62" s="4">
        <f>IF(AND(A62&gt;=$B$8,A62&lt;$B$8+$B$18),$B$9/$B$18,0)</f>
        <v/>
      </c>
      <c r="M62" s="4">
        <f>G62-H62-L62</f>
        <v/>
      </c>
      <c r="N62" s="4">
        <f>SUM($M$41:M62)</f>
        <v/>
      </c>
      <c r="O62" s="4">
        <f>$B$17*MAX(0,N62)</f>
        <v/>
      </c>
      <c r="P62" s="4">
        <f>MAX(0,O62-O61)</f>
        <v/>
      </c>
      <c r="Q62" s="4">
        <f>J62-P62</f>
        <v/>
      </c>
      <c r="R62" s="4">
        <f>Q62*B62</f>
        <v/>
      </c>
      <c r="S62" s="4">
        <f>SUM($Q$41:Q62)</f>
        <v/>
      </c>
    </row>
    <row r="63">
      <c r="A63" t="n">
        <v>22</v>
      </c>
      <c r="B63" s="3">
        <f>1/(1+$B$6)^A63</f>
        <v/>
      </c>
      <c r="C63">
        <f>IF(A63&lt;$B$8,1,0)</f>
        <v/>
      </c>
      <c r="D63">
        <f>IF(AND(A63&gt;=$B$8,A63&lt;$B$8+$B$7),1,0)</f>
        <v/>
      </c>
      <c r="E63" s="4">
        <f>C63*$B$9/$B$8</f>
        <v/>
      </c>
      <c r="F63" s="7">
        <f>D63*$B$14</f>
        <v/>
      </c>
      <c r="G63" s="4">
        <f>F63*$B$13/1000</f>
        <v/>
      </c>
      <c r="H63" s="4">
        <f>$B$5*G63</f>
        <v/>
      </c>
      <c r="I63" s="4">
        <f>D63*$B$16*$B$9</f>
        <v/>
      </c>
      <c r="J63" s="4">
        <f>G63-H63-E63-I63</f>
        <v/>
      </c>
      <c r="K63" s="4">
        <f>J63*B63</f>
        <v/>
      </c>
      <c r="L63" s="4">
        <f>IF(AND(A63&gt;=$B$8,A63&lt;$B$8+$B$18),$B$9/$B$18,0)</f>
        <v/>
      </c>
      <c r="M63" s="4">
        <f>G63-H63-L63</f>
        <v/>
      </c>
      <c r="N63" s="4">
        <f>SUM($M$41:M63)</f>
        <v/>
      </c>
      <c r="O63" s="4">
        <f>$B$17*MAX(0,N63)</f>
        <v/>
      </c>
      <c r="P63" s="4">
        <f>MAX(0,O63-O62)</f>
        <v/>
      </c>
      <c r="Q63" s="4">
        <f>J63-P63</f>
        <v/>
      </c>
      <c r="R63" s="4">
        <f>Q63*B63</f>
        <v/>
      </c>
      <c r="S63" s="4">
        <f>SUM($Q$41:Q63)</f>
        <v/>
      </c>
    </row>
    <row r="66">
      <c r="A66" s="2" t="inlineStr">
        <is>
          <t>Sensitivity cases (formula-based). Pre-tax NPV in columns G and H; after-tax NPV in columns K and M, exact because annual taxable income is constant across operating years in each case (columns J and L).</t>
        </is>
      </c>
    </row>
    <row r="67">
      <c r="A67" s="6" t="inlineStr">
        <is>
          <t>Case</t>
        </is>
      </c>
      <c r="B67" s="6" t="inlineStr">
        <is>
          <t>Capex factor</t>
        </is>
      </c>
      <c r="C67" s="6" t="inlineStr">
        <is>
          <t>Opex factor</t>
        </is>
      </c>
      <c r="D67" s="6" t="inlineStr">
        <is>
          <t>Revenue factor</t>
        </is>
      </c>
      <c r="E67" s="6" t="inlineStr">
        <is>
          <t>Opening delay (years)</t>
        </is>
      </c>
      <c r="F67" s="6" t="inlineStr">
        <is>
          <t>Annuity factor AFk</t>
        </is>
      </c>
      <c r="G67" s="6" t="inlineStr">
        <is>
          <t>Primary NPV, pre-tax (THB bn)</t>
        </is>
      </c>
      <c r="H67" s="6" t="inlineStr">
        <is>
          <t>Legacy NPV, pre-tax (THB bn)</t>
        </is>
      </c>
      <c r="I67" s="6" t="inlineStr">
        <is>
          <t>Replacement share per operating year</t>
        </is>
      </c>
      <c r="J67" s="6" t="inlineStr">
        <is>
          <t>Primary taxable income (THB bn a year)</t>
        </is>
      </c>
      <c r="K67" s="6" t="inlineStr">
        <is>
          <t>Primary NPV, after tax (THB bn)</t>
        </is>
      </c>
      <c r="L67" s="6" t="inlineStr">
        <is>
          <t>Legacy taxable income (THB bn a year)</t>
        </is>
      </c>
      <c r="M67" s="6" t="inlineStr">
        <is>
          <t>Legacy NPV, after tax (THB bn)</t>
        </is>
      </c>
    </row>
    <row r="68">
      <c r="A68" t="inlineStr">
        <is>
          <t>base</t>
        </is>
      </c>
      <c r="B68" t="n">
        <v>1</v>
      </c>
      <c r="C68" t="n">
        <v>1</v>
      </c>
      <c r="D68" t="n">
        <v>1</v>
      </c>
      <c r="E68" t="n">
        <v>0</v>
      </c>
      <c r="F68" s="3">
        <f>SUMPRODUCT($B$41:$B$63*($A$41:$A$63&gt;=$B$8+E68)*($A$41:$A$63&lt;$B$8+E68+$B$7))</f>
        <v/>
      </c>
      <c r="G68" s="4">
        <f>(D68-C68*$B$5)*$B$15*F68-B68*$B$28-I68*B68*$B$9*F68</f>
        <v/>
      </c>
      <c r="H68" s="4">
        <f>(D68-C68*$B$5)*$C$15*F68-B68*($C$9/$B$9)*$B$28-I68*B68*$C$9*F68</f>
        <v/>
      </c>
      <c r="I68">
        <f>$B$16</f>
        <v/>
      </c>
      <c r="J68" s="4">
        <f>D68*$B$15-C68*$B$5*$B$15-B68*$B$9/$B$18</f>
        <v/>
      </c>
      <c r="K68" s="4">
        <f>IF($B$18&lt;$B$7,"not valid",G68-$B$17*MAX(0,J68)*F68)</f>
        <v/>
      </c>
      <c r="L68" s="4">
        <f>D68*$C$15-C68*$B$5*$C$15-B68*$C$9/$C$18</f>
        <v/>
      </c>
      <c r="M68" s="4">
        <f>IF($C$18&lt;$C$7,"not valid",H68-$B$17*MAX(0,L68)*F68)</f>
        <v/>
      </c>
    </row>
    <row r="69">
      <c r="A69" t="inlineStr">
        <is>
          <t>construction cost up 5 percent</t>
        </is>
      </c>
      <c r="B69" t="n">
        <v>1.05</v>
      </c>
      <c r="C69" t="n">
        <v>1</v>
      </c>
      <c r="D69" t="n">
        <v>1</v>
      </c>
      <c r="E69" t="n">
        <v>0</v>
      </c>
      <c r="F69" s="3">
        <f>SUMPRODUCT($B$41:$B$63*($A$41:$A$63&gt;=$B$8+E69)*($A$41:$A$63&lt;$B$8+E69+$B$7))</f>
        <v/>
      </c>
      <c r="G69" s="4">
        <f>(D69-C69*$B$5)*$B$15*F69-B69*$B$28-I69*B69*$B$9*F69</f>
        <v/>
      </c>
      <c r="H69" s="4">
        <f>(D69-C69*$B$5)*$C$15*F69-B69*($C$9/$B$9)*$B$28-I69*B69*$C$9*F69</f>
        <v/>
      </c>
      <c r="I69">
        <f>$B$16</f>
        <v/>
      </c>
      <c r="J69" s="4">
        <f>D69*$B$15-C69*$B$5*$B$15-B69*$B$9/$B$18</f>
        <v/>
      </c>
      <c r="K69" s="4">
        <f>IF($B$18&lt;$B$7,"not valid",G69-$B$17*MAX(0,J69)*F69)</f>
        <v/>
      </c>
      <c r="L69" s="4">
        <f>D69*$C$15-C69*$B$5*$C$15-B69*$C$9/$C$18</f>
        <v/>
      </c>
      <c r="M69" s="4">
        <f>IF($C$18&lt;$C$7,"not valid",H69-$B$17*MAX(0,L69)*F69)</f>
        <v/>
      </c>
    </row>
    <row r="70">
      <c r="A70" t="inlineStr">
        <is>
          <t>construction cost down 5 percent</t>
        </is>
      </c>
      <c r="B70" t="n">
        <v>0.95</v>
      </c>
      <c r="C70" t="n">
        <v>1</v>
      </c>
      <c r="D70" t="n">
        <v>1</v>
      </c>
      <c r="E70" t="n">
        <v>0</v>
      </c>
      <c r="F70" s="3">
        <f>SUMPRODUCT($B$41:$B$63*($A$41:$A$63&gt;=$B$8+E70)*($A$41:$A$63&lt;$B$8+E70+$B$7))</f>
        <v/>
      </c>
      <c r="G70" s="4">
        <f>(D70-C70*$B$5)*$B$15*F70-B70*$B$28-I70*B70*$B$9*F70</f>
        <v/>
      </c>
      <c r="H70" s="4">
        <f>(D70-C70*$B$5)*$C$15*F70-B70*($C$9/$B$9)*$B$28-I70*B70*$C$9*F70</f>
        <v/>
      </c>
      <c r="I70">
        <f>$B$16</f>
        <v/>
      </c>
      <c r="J70" s="4">
        <f>D70*$B$15-C70*$B$5*$B$15-B70*$B$9/$B$18</f>
        <v/>
      </c>
      <c r="K70" s="4">
        <f>IF($B$18&lt;$B$7,"not valid",G70-$B$17*MAX(0,J70)*F70)</f>
        <v/>
      </c>
      <c r="L70" s="4">
        <f>D70*$C$15-C70*$B$5*$C$15-B70*$C$9/$C$18</f>
        <v/>
      </c>
      <c r="M70" s="4">
        <f>IF($C$18&lt;$C$7,"not valid",H70-$B$17*MAX(0,L70)*F70)</f>
        <v/>
      </c>
    </row>
    <row r="71">
      <c r="A71" t="inlineStr">
        <is>
          <t>construction cost up 10 percent</t>
        </is>
      </c>
      <c r="B71" t="n">
        <v>1.1</v>
      </c>
      <c r="C71" t="n">
        <v>1</v>
      </c>
      <c r="D71" t="n">
        <v>1</v>
      </c>
      <c r="E71" t="n">
        <v>0</v>
      </c>
      <c r="F71" s="3">
        <f>SUMPRODUCT($B$41:$B$63*($A$41:$A$63&gt;=$B$8+E71)*($A$41:$A$63&lt;$B$8+E71+$B$7))</f>
        <v/>
      </c>
      <c r="G71" s="4">
        <f>(D71-C71*$B$5)*$B$15*F71-B71*$B$28-I71*B71*$B$9*F71</f>
        <v/>
      </c>
      <c r="H71" s="4">
        <f>(D71-C71*$B$5)*$C$15*F71-B71*($C$9/$B$9)*$B$28-I71*B71*$C$9*F71</f>
        <v/>
      </c>
      <c r="I71">
        <f>$B$16</f>
        <v/>
      </c>
      <c r="J71" s="4">
        <f>D71*$B$15-C71*$B$5*$B$15-B71*$B$9/$B$18</f>
        <v/>
      </c>
      <c r="K71" s="4">
        <f>IF($B$18&lt;$B$7,"not valid",G71-$B$17*MAX(0,J71)*F71)</f>
        <v/>
      </c>
      <c r="L71" s="4">
        <f>D71*$C$15-C71*$B$5*$C$15-B71*$C$9/$C$18</f>
        <v/>
      </c>
      <c r="M71" s="4">
        <f>IF($C$18&lt;$C$7,"not valid",H71-$B$17*MAX(0,L71)*F71)</f>
        <v/>
      </c>
    </row>
    <row r="72">
      <c r="A72" t="inlineStr">
        <is>
          <t>construction cost down 10 percent</t>
        </is>
      </c>
      <c r="B72" t="n">
        <v>0.9</v>
      </c>
      <c r="C72" t="n">
        <v>1</v>
      </c>
      <c r="D72" t="n">
        <v>1</v>
      </c>
      <c r="E72" t="n">
        <v>0</v>
      </c>
      <c r="F72" s="3">
        <f>SUMPRODUCT($B$41:$B$63*($A$41:$A$63&gt;=$B$8+E72)*($A$41:$A$63&lt;$B$8+E72+$B$7))</f>
        <v/>
      </c>
      <c r="G72" s="4">
        <f>(D72-C72*$B$5)*$B$15*F72-B72*$B$28-I72*B72*$B$9*F72</f>
        <v/>
      </c>
      <c r="H72" s="4">
        <f>(D72-C72*$B$5)*$C$15*F72-B72*($C$9/$B$9)*$B$28-I72*B72*$C$9*F72</f>
        <v/>
      </c>
      <c r="I72">
        <f>$B$16</f>
        <v/>
      </c>
      <c r="J72" s="4">
        <f>D72*$B$15-C72*$B$5*$B$15-B72*$B$9/$B$18</f>
        <v/>
      </c>
      <c r="K72" s="4">
        <f>IF($B$18&lt;$B$7,"not valid",G72-$B$17*MAX(0,J72)*F72)</f>
        <v/>
      </c>
      <c r="L72" s="4">
        <f>D72*$C$15-C72*$B$5*$C$15-B72*$C$9/$C$18</f>
        <v/>
      </c>
      <c r="M72" s="4">
        <f>IF($C$18&lt;$C$7,"not valid",H72-$B$17*MAX(0,L72)*F72)</f>
        <v/>
      </c>
    </row>
    <row r="73">
      <c r="A73" t="inlineStr">
        <is>
          <t>construction cost up 20 percent</t>
        </is>
      </c>
      <c r="B73" t="n">
        <v>1.2</v>
      </c>
      <c r="C73" t="n">
        <v>1</v>
      </c>
      <c r="D73" t="n">
        <v>1</v>
      </c>
      <c r="E73" t="n">
        <v>0</v>
      </c>
      <c r="F73" s="3">
        <f>SUMPRODUCT($B$41:$B$63*($A$41:$A$63&gt;=$B$8+E73)*($A$41:$A$63&lt;$B$8+E73+$B$7))</f>
        <v/>
      </c>
      <c r="G73" s="4">
        <f>(D73-C73*$B$5)*$B$15*F73-B73*$B$28-I73*B73*$B$9*F73</f>
        <v/>
      </c>
      <c r="H73" s="4">
        <f>(D73-C73*$B$5)*$C$15*F73-B73*($C$9/$B$9)*$B$28-I73*B73*$C$9*F73</f>
        <v/>
      </c>
      <c r="I73">
        <f>$B$16</f>
        <v/>
      </c>
      <c r="J73" s="4">
        <f>D73*$B$15-C73*$B$5*$B$15-B73*$B$9/$B$18</f>
        <v/>
      </c>
      <c r="K73" s="4">
        <f>IF($B$18&lt;$B$7,"not valid",G73-$B$17*MAX(0,J73)*F73)</f>
        <v/>
      </c>
      <c r="L73" s="4">
        <f>D73*$C$15-C73*$B$5*$C$15-B73*$C$9/$C$18</f>
        <v/>
      </c>
      <c r="M73" s="4">
        <f>IF($C$18&lt;$C$7,"not valid",H73-$B$17*MAX(0,L73)*F73)</f>
        <v/>
      </c>
    </row>
    <row r="74">
      <c r="A74" t="inlineStr">
        <is>
          <t>construction cost down 20 percent</t>
        </is>
      </c>
      <c r="B74" t="n">
        <v>0.8</v>
      </c>
      <c r="C74" t="n">
        <v>1</v>
      </c>
      <c r="D74" t="n">
        <v>1</v>
      </c>
      <c r="E74" t="n">
        <v>0</v>
      </c>
      <c r="F74" s="3">
        <f>SUMPRODUCT($B$41:$B$63*($A$41:$A$63&gt;=$B$8+E74)*($A$41:$A$63&lt;$B$8+E74+$B$7))</f>
        <v/>
      </c>
      <c r="G74" s="4">
        <f>(D74-C74*$B$5)*$B$15*F74-B74*$B$28-I74*B74*$B$9*F74</f>
        <v/>
      </c>
      <c r="H74" s="4">
        <f>(D74-C74*$B$5)*$C$15*F74-B74*($C$9/$B$9)*$B$28-I74*B74*$C$9*F74</f>
        <v/>
      </c>
      <c r="I74">
        <f>$B$16</f>
        <v/>
      </c>
      <c r="J74" s="4">
        <f>D74*$B$15-C74*$B$5*$B$15-B74*$B$9/$B$18</f>
        <v/>
      </c>
      <c r="K74" s="4">
        <f>IF($B$18&lt;$B$7,"not valid",G74-$B$17*MAX(0,J74)*F74)</f>
        <v/>
      </c>
      <c r="L74" s="4">
        <f>D74*$C$15-C74*$B$5*$C$15-B74*$C$9/$C$18</f>
        <v/>
      </c>
      <c r="M74" s="4">
        <f>IF($C$18&lt;$C$7,"not valid",H74-$B$17*MAX(0,L74)*F74)</f>
        <v/>
      </c>
    </row>
    <row r="75">
      <c r="A75" t="inlineStr">
        <is>
          <t>operating and maintenance cost up 5 percent</t>
        </is>
      </c>
      <c r="B75" t="n">
        <v>1</v>
      </c>
      <c r="C75" t="n">
        <v>1.05</v>
      </c>
      <c r="D75" t="n">
        <v>1</v>
      </c>
      <c r="E75" t="n">
        <v>0</v>
      </c>
      <c r="F75" s="3">
        <f>SUMPRODUCT($B$41:$B$63*($A$41:$A$63&gt;=$B$8+E75)*($A$41:$A$63&lt;$B$8+E75+$B$7))</f>
        <v/>
      </c>
      <c r="G75" s="4">
        <f>(D75-C75*$B$5)*$B$15*F75-B75*$B$28-I75*B75*$B$9*F75</f>
        <v/>
      </c>
      <c r="H75" s="4">
        <f>(D75-C75*$B$5)*$C$15*F75-B75*($C$9/$B$9)*$B$28-I75*B75*$C$9*F75</f>
        <v/>
      </c>
      <c r="I75">
        <f>$B$16</f>
        <v/>
      </c>
      <c r="J75" s="4">
        <f>D75*$B$15-C75*$B$5*$B$15-B75*$B$9/$B$18</f>
        <v/>
      </c>
      <c r="K75" s="4">
        <f>IF($B$18&lt;$B$7,"not valid",G75-$B$17*MAX(0,J75)*F75)</f>
        <v/>
      </c>
      <c r="L75" s="4">
        <f>D75*$C$15-C75*$B$5*$C$15-B75*$C$9/$C$18</f>
        <v/>
      </c>
      <c r="M75" s="4">
        <f>IF($C$18&lt;$C$7,"not valid",H75-$B$17*MAX(0,L75)*F75)</f>
        <v/>
      </c>
    </row>
    <row r="76">
      <c r="A76" t="inlineStr">
        <is>
          <t>operating and maintenance cost down 5 percent</t>
        </is>
      </c>
      <c r="B76" t="n">
        <v>1</v>
      </c>
      <c r="C76" t="n">
        <v>0.95</v>
      </c>
      <c r="D76" t="n">
        <v>1</v>
      </c>
      <c r="E76" t="n">
        <v>0</v>
      </c>
      <c r="F76" s="3">
        <f>SUMPRODUCT($B$41:$B$63*($A$41:$A$63&gt;=$B$8+E76)*($A$41:$A$63&lt;$B$8+E76+$B$7))</f>
        <v/>
      </c>
      <c r="G76" s="4">
        <f>(D76-C76*$B$5)*$B$15*F76-B76*$B$28-I76*B76*$B$9*F76</f>
        <v/>
      </c>
      <c r="H76" s="4">
        <f>(D76-C76*$B$5)*$C$15*F76-B76*($C$9/$B$9)*$B$28-I76*B76*$C$9*F76</f>
        <v/>
      </c>
      <c r="I76">
        <f>$B$16</f>
        <v/>
      </c>
      <c r="J76" s="4">
        <f>D76*$B$15-C76*$B$5*$B$15-B76*$B$9/$B$18</f>
        <v/>
      </c>
      <c r="K76" s="4">
        <f>IF($B$18&lt;$B$7,"not valid",G76-$B$17*MAX(0,J76)*F76)</f>
        <v/>
      </c>
      <c r="L76" s="4">
        <f>D76*$C$15-C76*$B$5*$C$15-B76*$C$9/$C$18</f>
        <v/>
      </c>
      <c r="M76" s="4">
        <f>IF($C$18&lt;$C$7,"not valid",H76-$B$17*MAX(0,L76)*F76)</f>
        <v/>
      </c>
    </row>
    <row r="77">
      <c r="A77" t="inlineStr">
        <is>
          <t>operating and maintenance cost up 10 percent</t>
        </is>
      </c>
      <c r="B77" t="n">
        <v>1</v>
      </c>
      <c r="C77" t="n">
        <v>1.1</v>
      </c>
      <c r="D77" t="n">
        <v>1</v>
      </c>
      <c r="E77" t="n">
        <v>0</v>
      </c>
      <c r="F77" s="3">
        <f>SUMPRODUCT($B$41:$B$63*($A$41:$A$63&gt;=$B$8+E77)*($A$41:$A$63&lt;$B$8+E77+$B$7))</f>
        <v/>
      </c>
      <c r="G77" s="4">
        <f>(D77-C77*$B$5)*$B$15*F77-B77*$B$28-I77*B77*$B$9*F77</f>
        <v/>
      </c>
      <c r="H77" s="4">
        <f>(D77-C77*$B$5)*$C$15*F77-B77*($C$9/$B$9)*$B$28-I77*B77*$C$9*F77</f>
        <v/>
      </c>
      <c r="I77">
        <f>$B$16</f>
        <v/>
      </c>
      <c r="J77" s="4">
        <f>D77*$B$15-C77*$B$5*$B$15-B77*$B$9/$B$18</f>
        <v/>
      </c>
      <c r="K77" s="4">
        <f>IF($B$18&lt;$B$7,"not valid",G77-$B$17*MAX(0,J77)*F77)</f>
        <v/>
      </c>
      <c r="L77" s="4">
        <f>D77*$C$15-C77*$B$5*$C$15-B77*$C$9/$C$18</f>
        <v/>
      </c>
      <c r="M77" s="4">
        <f>IF($C$18&lt;$C$7,"not valid",H77-$B$17*MAX(0,L77)*F77)</f>
        <v/>
      </c>
    </row>
    <row r="78">
      <c r="A78" t="inlineStr">
        <is>
          <t>operating and maintenance cost down 10 percent</t>
        </is>
      </c>
      <c r="B78" t="n">
        <v>1</v>
      </c>
      <c r="C78" t="n">
        <v>0.9</v>
      </c>
      <c r="D78" t="n">
        <v>1</v>
      </c>
      <c r="E78" t="n">
        <v>0</v>
      </c>
      <c r="F78" s="3">
        <f>SUMPRODUCT($B$41:$B$63*($A$41:$A$63&gt;=$B$8+E78)*($A$41:$A$63&lt;$B$8+E78+$B$7))</f>
        <v/>
      </c>
      <c r="G78" s="4">
        <f>(D78-C78*$B$5)*$B$15*F78-B78*$B$28-I78*B78*$B$9*F78</f>
        <v/>
      </c>
      <c r="H78" s="4">
        <f>(D78-C78*$B$5)*$C$15*F78-B78*($C$9/$B$9)*$B$28-I78*B78*$C$9*F78</f>
        <v/>
      </c>
      <c r="I78">
        <f>$B$16</f>
        <v/>
      </c>
      <c r="J78" s="4">
        <f>D78*$B$15-C78*$B$5*$B$15-B78*$B$9/$B$18</f>
        <v/>
      </c>
      <c r="K78" s="4">
        <f>IF($B$18&lt;$B$7,"not valid",G78-$B$17*MAX(0,J78)*F78)</f>
        <v/>
      </c>
      <c r="L78" s="4">
        <f>D78*$C$15-C78*$B$5*$C$15-B78*$C$9/$C$18</f>
        <v/>
      </c>
      <c r="M78" s="4">
        <f>IF($C$18&lt;$C$7,"not valid",H78-$B$17*MAX(0,L78)*F78)</f>
        <v/>
      </c>
    </row>
    <row r="79">
      <c r="A79" t="inlineStr">
        <is>
          <t>operating and maintenance cost up 20 percent</t>
        </is>
      </c>
      <c r="B79" t="n">
        <v>1</v>
      </c>
      <c r="C79" t="n">
        <v>1.2</v>
      </c>
      <c r="D79" t="n">
        <v>1</v>
      </c>
      <c r="E79" t="n">
        <v>0</v>
      </c>
      <c r="F79" s="3">
        <f>SUMPRODUCT($B$41:$B$63*($A$41:$A$63&gt;=$B$8+E79)*($A$41:$A$63&lt;$B$8+E79+$B$7))</f>
        <v/>
      </c>
      <c r="G79" s="4">
        <f>(D79-C79*$B$5)*$B$15*F79-B79*$B$28-I79*B79*$B$9*F79</f>
        <v/>
      </c>
      <c r="H79" s="4">
        <f>(D79-C79*$B$5)*$C$15*F79-B79*($C$9/$B$9)*$B$28-I79*B79*$C$9*F79</f>
        <v/>
      </c>
      <c r="I79">
        <f>$B$16</f>
        <v/>
      </c>
      <c r="J79" s="4">
        <f>D79*$B$15-C79*$B$5*$B$15-B79*$B$9/$B$18</f>
        <v/>
      </c>
      <c r="K79" s="4">
        <f>IF($B$18&lt;$B$7,"not valid",G79-$B$17*MAX(0,J79)*F79)</f>
        <v/>
      </c>
      <c r="L79" s="4">
        <f>D79*$C$15-C79*$B$5*$C$15-B79*$C$9/$C$18</f>
        <v/>
      </c>
      <c r="M79" s="4">
        <f>IF($C$18&lt;$C$7,"not valid",H79-$B$17*MAX(0,L79)*F79)</f>
        <v/>
      </c>
    </row>
    <row r="80">
      <c r="A80" t="inlineStr">
        <is>
          <t>operating and maintenance cost down 20 percent</t>
        </is>
      </c>
      <c r="B80" t="n">
        <v>1</v>
      </c>
      <c r="C80" t="n">
        <v>0.8</v>
      </c>
      <c r="D80" t="n">
        <v>1</v>
      </c>
      <c r="E80" t="n">
        <v>0</v>
      </c>
      <c r="F80" s="3">
        <f>SUMPRODUCT($B$41:$B$63*($A$41:$A$63&gt;=$B$8+E80)*($A$41:$A$63&lt;$B$8+E80+$B$7))</f>
        <v/>
      </c>
      <c r="G80" s="4">
        <f>(D80-C80*$B$5)*$B$15*F80-B80*$B$28-I80*B80*$B$9*F80</f>
        <v/>
      </c>
      <c r="H80" s="4">
        <f>(D80-C80*$B$5)*$C$15*F80-B80*($C$9/$B$9)*$B$28-I80*B80*$C$9*F80</f>
        <v/>
      </c>
      <c r="I80">
        <f>$B$16</f>
        <v/>
      </c>
      <c r="J80" s="4">
        <f>D80*$B$15-C80*$B$5*$B$15-B80*$B$9/$B$18</f>
        <v/>
      </c>
      <c r="K80" s="4">
        <f>IF($B$18&lt;$B$7,"not valid",G80-$B$17*MAX(0,J80)*F80)</f>
        <v/>
      </c>
      <c r="L80" s="4">
        <f>D80*$C$15-C80*$B$5*$C$15-B80*$C$9/$C$18</f>
        <v/>
      </c>
      <c r="M80" s="4">
        <f>IF($C$18&lt;$C$7,"not valid",H80-$B$17*MAX(0,L80)*F80)</f>
        <v/>
      </c>
    </row>
    <row r="81">
      <c r="A81" t="inlineStr">
        <is>
          <t>revenue up 5 percent</t>
        </is>
      </c>
      <c r="B81" t="n">
        <v>1</v>
      </c>
      <c r="C81" t="n">
        <v>1</v>
      </c>
      <c r="D81" t="n">
        <v>1.05</v>
      </c>
      <c r="E81" t="n">
        <v>0</v>
      </c>
      <c r="F81" s="3">
        <f>SUMPRODUCT($B$41:$B$63*($A$41:$A$63&gt;=$B$8+E81)*($A$41:$A$63&lt;$B$8+E81+$B$7))</f>
        <v/>
      </c>
      <c r="G81" s="4">
        <f>(D81-C81*$B$5)*$B$15*F81-B81*$B$28-I81*B81*$B$9*F81</f>
        <v/>
      </c>
      <c r="H81" s="4">
        <f>(D81-C81*$B$5)*$C$15*F81-B81*($C$9/$B$9)*$B$28-I81*B81*$C$9*F81</f>
        <v/>
      </c>
      <c r="I81">
        <f>$B$16</f>
        <v/>
      </c>
      <c r="J81" s="4">
        <f>D81*$B$15-C81*$B$5*$B$15-B81*$B$9/$B$18</f>
        <v/>
      </c>
      <c r="K81" s="4">
        <f>IF($B$18&lt;$B$7,"not valid",G81-$B$17*MAX(0,J81)*F81)</f>
        <v/>
      </c>
      <c r="L81" s="4">
        <f>D81*$C$15-C81*$B$5*$C$15-B81*$C$9/$C$18</f>
        <v/>
      </c>
      <c r="M81" s="4">
        <f>IF($C$18&lt;$C$7,"not valid",H81-$B$17*MAX(0,L81)*F81)</f>
        <v/>
      </c>
    </row>
    <row r="82">
      <c r="A82" t="inlineStr">
        <is>
          <t>revenue down 5 percent</t>
        </is>
      </c>
      <c r="B82" t="n">
        <v>1</v>
      </c>
      <c r="C82" t="n">
        <v>1</v>
      </c>
      <c r="D82" t="n">
        <v>0.95</v>
      </c>
      <c r="E82" t="n">
        <v>0</v>
      </c>
      <c r="F82" s="3">
        <f>SUMPRODUCT($B$41:$B$63*($A$41:$A$63&gt;=$B$8+E82)*($A$41:$A$63&lt;$B$8+E82+$B$7))</f>
        <v/>
      </c>
      <c r="G82" s="4">
        <f>(D82-C82*$B$5)*$B$15*F82-B82*$B$28-I82*B82*$B$9*F82</f>
        <v/>
      </c>
      <c r="H82" s="4">
        <f>(D82-C82*$B$5)*$C$15*F82-B82*($C$9/$B$9)*$B$28-I82*B82*$C$9*F82</f>
        <v/>
      </c>
      <c r="I82">
        <f>$B$16</f>
        <v/>
      </c>
      <c r="J82" s="4">
        <f>D82*$B$15-C82*$B$5*$B$15-B82*$B$9/$B$18</f>
        <v/>
      </c>
      <c r="K82" s="4">
        <f>IF($B$18&lt;$B$7,"not valid",G82-$B$17*MAX(0,J82)*F82)</f>
        <v/>
      </c>
      <c r="L82" s="4">
        <f>D82*$C$15-C82*$B$5*$C$15-B82*$C$9/$C$18</f>
        <v/>
      </c>
      <c r="M82" s="4">
        <f>IF($C$18&lt;$C$7,"not valid",H82-$B$17*MAX(0,L82)*F82)</f>
        <v/>
      </c>
    </row>
    <row r="83">
      <c r="A83" t="inlineStr">
        <is>
          <t>revenue up 10 percent</t>
        </is>
      </c>
      <c r="B83" t="n">
        <v>1</v>
      </c>
      <c r="C83" t="n">
        <v>1</v>
      </c>
      <c r="D83" t="n">
        <v>1.1</v>
      </c>
      <c r="E83" t="n">
        <v>0</v>
      </c>
      <c r="F83" s="3">
        <f>SUMPRODUCT($B$41:$B$63*($A$41:$A$63&gt;=$B$8+E83)*($A$41:$A$63&lt;$B$8+E83+$B$7))</f>
        <v/>
      </c>
      <c r="G83" s="4">
        <f>(D83-C83*$B$5)*$B$15*F83-B83*$B$28-I83*B83*$B$9*F83</f>
        <v/>
      </c>
      <c r="H83" s="4">
        <f>(D83-C83*$B$5)*$C$15*F83-B83*($C$9/$B$9)*$B$28-I83*B83*$C$9*F83</f>
        <v/>
      </c>
      <c r="I83">
        <f>$B$16</f>
        <v/>
      </c>
      <c r="J83" s="4">
        <f>D83*$B$15-C83*$B$5*$B$15-B83*$B$9/$B$18</f>
        <v/>
      </c>
      <c r="K83" s="4">
        <f>IF($B$18&lt;$B$7,"not valid",G83-$B$17*MAX(0,J83)*F83)</f>
        <v/>
      </c>
      <c r="L83" s="4">
        <f>D83*$C$15-C83*$B$5*$C$15-B83*$C$9/$C$18</f>
        <v/>
      </c>
      <c r="M83" s="4">
        <f>IF($C$18&lt;$C$7,"not valid",H83-$B$17*MAX(0,L83)*F83)</f>
        <v/>
      </c>
    </row>
    <row r="84">
      <c r="A84" t="inlineStr">
        <is>
          <t>revenue down 10 percent</t>
        </is>
      </c>
      <c r="B84" t="n">
        <v>1</v>
      </c>
      <c r="C84" t="n">
        <v>1</v>
      </c>
      <c r="D84" t="n">
        <v>0.9</v>
      </c>
      <c r="E84" t="n">
        <v>0</v>
      </c>
      <c r="F84" s="3">
        <f>SUMPRODUCT($B$41:$B$63*($A$41:$A$63&gt;=$B$8+E84)*($A$41:$A$63&lt;$B$8+E84+$B$7))</f>
        <v/>
      </c>
      <c r="G84" s="4">
        <f>(D84-C84*$B$5)*$B$15*F84-B84*$B$28-I84*B84*$B$9*F84</f>
        <v/>
      </c>
      <c r="H84" s="4">
        <f>(D84-C84*$B$5)*$C$15*F84-B84*($C$9/$B$9)*$B$28-I84*B84*$C$9*F84</f>
        <v/>
      </c>
      <c r="I84">
        <f>$B$16</f>
        <v/>
      </c>
      <c r="J84" s="4">
        <f>D84*$B$15-C84*$B$5*$B$15-B84*$B$9/$B$18</f>
        <v/>
      </c>
      <c r="K84" s="4">
        <f>IF($B$18&lt;$B$7,"not valid",G84-$B$17*MAX(0,J84)*F84)</f>
        <v/>
      </c>
      <c r="L84" s="4">
        <f>D84*$C$15-C84*$B$5*$C$15-B84*$C$9/$C$18</f>
        <v/>
      </c>
      <c r="M84" s="4">
        <f>IF($C$18&lt;$C$7,"not valid",H84-$B$17*MAX(0,L84)*F84)</f>
        <v/>
      </c>
    </row>
    <row r="85">
      <c r="A85" t="inlineStr">
        <is>
          <t>revenue up 20 percent</t>
        </is>
      </c>
      <c r="B85" t="n">
        <v>1</v>
      </c>
      <c r="C85" t="n">
        <v>1</v>
      </c>
      <c r="D85" t="n">
        <v>1.2</v>
      </c>
      <c r="E85" t="n">
        <v>0</v>
      </c>
      <c r="F85" s="3">
        <f>SUMPRODUCT($B$41:$B$63*($A$41:$A$63&gt;=$B$8+E85)*($A$41:$A$63&lt;$B$8+E85+$B$7))</f>
        <v/>
      </c>
      <c r="G85" s="4">
        <f>(D85-C85*$B$5)*$B$15*F85-B85*$B$28-I85*B85*$B$9*F85</f>
        <v/>
      </c>
      <c r="H85" s="4">
        <f>(D85-C85*$B$5)*$C$15*F85-B85*($C$9/$B$9)*$B$28-I85*B85*$C$9*F85</f>
        <v/>
      </c>
      <c r="I85">
        <f>$B$16</f>
        <v/>
      </c>
      <c r="J85" s="4">
        <f>D85*$B$15-C85*$B$5*$B$15-B85*$B$9/$B$18</f>
        <v/>
      </c>
      <c r="K85" s="4">
        <f>IF($B$18&lt;$B$7,"not valid",G85-$B$17*MAX(0,J85)*F85)</f>
        <v/>
      </c>
      <c r="L85" s="4">
        <f>D85*$C$15-C85*$B$5*$C$15-B85*$C$9/$C$18</f>
        <v/>
      </c>
      <c r="M85" s="4">
        <f>IF($C$18&lt;$C$7,"not valid",H85-$B$17*MAX(0,L85)*F85)</f>
        <v/>
      </c>
    </row>
    <row r="86">
      <c r="A86" t="inlineStr">
        <is>
          <t>revenue down 20 percent</t>
        </is>
      </c>
      <c r="B86" t="n">
        <v>1</v>
      </c>
      <c r="C86" t="n">
        <v>1</v>
      </c>
      <c r="D86" t="n">
        <v>0.8</v>
      </c>
      <c r="E86" t="n">
        <v>0</v>
      </c>
      <c r="F86" s="3">
        <f>SUMPRODUCT($B$41:$B$63*($A$41:$A$63&gt;=$B$8+E86)*($A$41:$A$63&lt;$B$8+E86+$B$7))</f>
        <v/>
      </c>
      <c r="G86" s="4">
        <f>(D86-C86*$B$5)*$B$15*F86-B86*$B$28-I86*B86*$B$9*F86</f>
        <v/>
      </c>
      <c r="H86" s="4">
        <f>(D86-C86*$B$5)*$C$15*F86-B86*($C$9/$B$9)*$B$28-I86*B86*$C$9*F86</f>
        <v/>
      </c>
      <c r="I86">
        <f>$B$16</f>
        <v/>
      </c>
      <c r="J86" s="4">
        <f>D86*$B$15-C86*$B$5*$B$15-B86*$B$9/$B$18</f>
        <v/>
      </c>
      <c r="K86" s="4">
        <f>IF($B$18&lt;$B$7,"not valid",G86-$B$17*MAX(0,J86)*F86)</f>
        <v/>
      </c>
      <c r="L86" s="4">
        <f>D86*$C$15-C86*$B$5*$C$15-B86*$C$9/$C$18</f>
        <v/>
      </c>
      <c r="M86" s="4">
        <f>IF($C$18&lt;$C$7,"not valid",H86-$B$17*MAX(0,L86)*F86)</f>
        <v/>
      </c>
    </row>
    <row r="87">
      <c r="A87" t="inlineStr">
        <is>
          <t>two factors: construction cost up 5 percent and revenue down 5 percent</t>
        </is>
      </c>
      <c r="B87" t="n">
        <v>1.05</v>
      </c>
      <c r="C87" t="n">
        <v>1</v>
      </c>
      <c r="D87" t="n">
        <v>0.95</v>
      </c>
      <c r="E87" t="n">
        <v>0</v>
      </c>
      <c r="F87" s="3">
        <f>SUMPRODUCT($B$41:$B$63*($A$41:$A$63&gt;=$B$8+E87)*($A$41:$A$63&lt;$B$8+E87+$B$7))</f>
        <v/>
      </c>
      <c r="G87" s="4">
        <f>(D87-C87*$B$5)*$B$15*F87-B87*$B$28-I87*B87*$B$9*F87</f>
        <v/>
      </c>
      <c r="H87" s="4">
        <f>(D87-C87*$B$5)*$C$15*F87-B87*($C$9/$B$9)*$B$28-I87*B87*$C$9*F87</f>
        <v/>
      </c>
      <c r="I87">
        <f>$B$16</f>
        <v/>
      </c>
      <c r="J87" s="4">
        <f>D87*$B$15-C87*$B$5*$B$15-B87*$B$9/$B$18</f>
        <v/>
      </c>
      <c r="K87" s="4">
        <f>IF($B$18&lt;$B$7,"not valid",G87-$B$17*MAX(0,J87)*F87)</f>
        <v/>
      </c>
      <c r="L87" s="4">
        <f>D87*$C$15-C87*$B$5*$C$15-B87*$C$9/$C$18</f>
        <v/>
      </c>
      <c r="M87" s="4">
        <f>IF($C$18&lt;$C$7,"not valid",H87-$B$17*MAX(0,L87)*F87)</f>
        <v/>
      </c>
    </row>
    <row r="88">
      <c r="A88" t="inlineStr">
        <is>
          <t>two factors: construction cost down 5 percent and revenue up 5 percent</t>
        </is>
      </c>
      <c r="B88" t="n">
        <v>0.95</v>
      </c>
      <c r="C88" t="n">
        <v>1</v>
      </c>
      <c r="D88" t="n">
        <v>1.05</v>
      </c>
      <c r="E88" t="n">
        <v>0</v>
      </c>
      <c r="F88" s="3">
        <f>SUMPRODUCT($B$41:$B$63*($A$41:$A$63&gt;=$B$8+E88)*($A$41:$A$63&lt;$B$8+E88+$B$7))</f>
        <v/>
      </c>
      <c r="G88" s="4">
        <f>(D88-C88*$B$5)*$B$15*F88-B88*$B$28-I88*B88*$B$9*F88</f>
        <v/>
      </c>
      <c r="H88" s="4">
        <f>(D88-C88*$B$5)*$C$15*F88-B88*($C$9/$B$9)*$B$28-I88*B88*$C$9*F88</f>
        <v/>
      </c>
      <c r="I88">
        <f>$B$16</f>
        <v/>
      </c>
      <c r="J88" s="4">
        <f>D88*$B$15-C88*$B$5*$B$15-B88*$B$9/$B$18</f>
        <v/>
      </c>
      <c r="K88" s="4">
        <f>IF($B$18&lt;$B$7,"not valid",G88-$B$17*MAX(0,J88)*F88)</f>
        <v/>
      </c>
      <c r="L88" s="4">
        <f>D88*$C$15-C88*$B$5*$C$15-B88*$C$9/$C$18</f>
        <v/>
      </c>
      <c r="M88" s="4">
        <f>IF($C$18&lt;$C$7,"not valid",H88-$B$17*MAX(0,L88)*F88)</f>
        <v/>
      </c>
    </row>
    <row r="89">
      <c r="A89" t="inlineStr">
        <is>
          <t>two factors: construction cost up 10 percent and revenue down 10 percent</t>
        </is>
      </c>
      <c r="B89" t="n">
        <v>1.1</v>
      </c>
      <c r="C89" t="n">
        <v>1</v>
      </c>
      <c r="D89" t="n">
        <v>0.9</v>
      </c>
      <c r="E89" t="n">
        <v>0</v>
      </c>
      <c r="F89" s="3">
        <f>SUMPRODUCT($B$41:$B$63*($A$41:$A$63&gt;=$B$8+E89)*($A$41:$A$63&lt;$B$8+E89+$B$7))</f>
        <v/>
      </c>
      <c r="G89" s="4">
        <f>(D89-C89*$B$5)*$B$15*F89-B89*$B$28-I89*B89*$B$9*F89</f>
        <v/>
      </c>
      <c r="H89" s="4">
        <f>(D89-C89*$B$5)*$C$15*F89-B89*($C$9/$B$9)*$B$28-I89*B89*$C$9*F89</f>
        <v/>
      </c>
      <c r="I89">
        <f>$B$16</f>
        <v/>
      </c>
      <c r="J89" s="4">
        <f>D89*$B$15-C89*$B$5*$B$15-B89*$B$9/$B$18</f>
        <v/>
      </c>
      <c r="K89" s="4">
        <f>IF($B$18&lt;$B$7,"not valid",G89-$B$17*MAX(0,J89)*F89)</f>
        <v/>
      </c>
      <c r="L89" s="4">
        <f>D89*$C$15-C89*$B$5*$C$15-B89*$C$9/$C$18</f>
        <v/>
      </c>
      <c r="M89" s="4">
        <f>IF($C$18&lt;$C$7,"not valid",H89-$B$17*MAX(0,L89)*F89)</f>
        <v/>
      </c>
    </row>
    <row r="90">
      <c r="A90" t="inlineStr">
        <is>
          <t>two factors: construction cost down 10 percent and revenue up 10 percent</t>
        </is>
      </c>
      <c r="B90" t="n">
        <v>0.9</v>
      </c>
      <c r="C90" t="n">
        <v>1</v>
      </c>
      <c r="D90" t="n">
        <v>1.1</v>
      </c>
      <c r="E90" t="n">
        <v>0</v>
      </c>
      <c r="F90" s="3">
        <f>SUMPRODUCT($B$41:$B$63*($A$41:$A$63&gt;=$B$8+E90)*($A$41:$A$63&lt;$B$8+E90+$B$7))</f>
        <v/>
      </c>
      <c r="G90" s="4">
        <f>(D90-C90*$B$5)*$B$15*F90-B90*$B$28-I90*B90*$B$9*F90</f>
        <v/>
      </c>
      <c r="H90" s="4">
        <f>(D90-C90*$B$5)*$C$15*F90-B90*($C$9/$B$9)*$B$28-I90*B90*$C$9*F90</f>
        <v/>
      </c>
      <c r="I90">
        <f>$B$16</f>
        <v/>
      </c>
      <c r="J90" s="4">
        <f>D90*$B$15-C90*$B$5*$B$15-B90*$B$9/$B$18</f>
        <v/>
      </c>
      <c r="K90" s="4">
        <f>IF($B$18&lt;$B$7,"not valid",G90-$B$17*MAX(0,J90)*F90)</f>
        <v/>
      </c>
      <c r="L90" s="4">
        <f>D90*$C$15-C90*$B$5*$C$15-B90*$C$9/$C$18</f>
        <v/>
      </c>
      <c r="M90" s="4">
        <f>IF($C$18&lt;$C$7,"not valid",H90-$B$17*MAX(0,L90)*F90)</f>
        <v/>
      </c>
    </row>
    <row r="91">
      <c r="A91" t="inlineStr">
        <is>
          <t>two factors: construction cost up 20 percent and revenue down 20 percent</t>
        </is>
      </c>
      <c r="B91" t="n">
        <v>1.2</v>
      </c>
      <c r="C91" t="n">
        <v>1</v>
      </c>
      <c r="D91" t="n">
        <v>0.8</v>
      </c>
      <c r="E91" t="n">
        <v>0</v>
      </c>
      <c r="F91" s="3">
        <f>SUMPRODUCT($B$41:$B$63*($A$41:$A$63&gt;=$B$8+E91)*($A$41:$A$63&lt;$B$8+E91+$B$7))</f>
        <v/>
      </c>
      <c r="G91" s="4">
        <f>(D91-C91*$B$5)*$B$15*F91-B91*$B$28-I91*B91*$B$9*F91</f>
        <v/>
      </c>
      <c r="H91" s="4">
        <f>(D91-C91*$B$5)*$C$15*F91-B91*($C$9/$B$9)*$B$28-I91*B91*$C$9*F91</f>
        <v/>
      </c>
      <c r="I91">
        <f>$B$16</f>
        <v/>
      </c>
      <c r="J91" s="4">
        <f>D91*$B$15-C91*$B$5*$B$15-B91*$B$9/$B$18</f>
        <v/>
      </c>
      <c r="K91" s="4">
        <f>IF($B$18&lt;$B$7,"not valid",G91-$B$17*MAX(0,J91)*F91)</f>
        <v/>
      </c>
      <c r="L91" s="4">
        <f>D91*$C$15-C91*$B$5*$C$15-B91*$C$9/$C$18</f>
        <v/>
      </c>
      <c r="M91" s="4">
        <f>IF($C$18&lt;$C$7,"not valid",H91-$B$17*MAX(0,L91)*F91)</f>
        <v/>
      </c>
    </row>
    <row r="92">
      <c r="A92" t="inlineStr">
        <is>
          <t>two factors: construction cost down 20 percent and revenue up 20 percent</t>
        </is>
      </c>
      <c r="B92" t="n">
        <v>0.8</v>
      </c>
      <c r="C92" t="n">
        <v>1</v>
      </c>
      <c r="D92" t="n">
        <v>1.2</v>
      </c>
      <c r="E92" t="n">
        <v>0</v>
      </c>
      <c r="F92" s="3">
        <f>SUMPRODUCT($B$41:$B$63*($A$41:$A$63&gt;=$B$8+E92)*($A$41:$A$63&lt;$B$8+E92+$B$7))</f>
        <v/>
      </c>
      <c r="G92" s="4">
        <f>(D92-C92*$B$5)*$B$15*F92-B92*$B$28-I92*B92*$B$9*F92</f>
        <v/>
      </c>
      <c r="H92" s="4">
        <f>(D92-C92*$B$5)*$C$15*F92-B92*($C$9/$B$9)*$B$28-I92*B92*$C$9*F92</f>
        <v/>
      </c>
      <c r="I92">
        <f>$B$16</f>
        <v/>
      </c>
      <c r="J92" s="4">
        <f>D92*$B$15-C92*$B$5*$B$15-B92*$B$9/$B$18</f>
        <v/>
      </c>
      <c r="K92" s="4">
        <f>IF($B$18&lt;$B$7,"not valid",G92-$B$17*MAX(0,J92)*F92)</f>
        <v/>
      </c>
      <c r="L92" s="4">
        <f>D92*$C$15-C92*$B$5*$C$15-B92*$C$9/$C$18</f>
        <v/>
      </c>
      <c r="M92" s="4">
        <f>IF($C$18&lt;$C$7,"not valid",H92-$B$17*MAX(0,L92)*F92)</f>
        <v/>
      </c>
    </row>
    <row r="93">
      <c r="A93" t="inlineStr">
        <is>
          <t>one-year delay in opening</t>
        </is>
      </c>
      <c r="B93" t="n">
        <v>1</v>
      </c>
      <c r="C93" t="n">
        <v>1</v>
      </c>
      <c r="D93" t="n">
        <v>1</v>
      </c>
      <c r="E93" t="n">
        <v>1</v>
      </c>
      <c r="F93" s="3">
        <f>SUMPRODUCT($B$41:$B$63*($A$41:$A$63&gt;=$B$8+E93)*($A$41:$A$63&lt;$B$8+E93+$B$7))</f>
        <v/>
      </c>
      <c r="G93" s="4">
        <f>(D93-C93*$B$5)*$B$15*F93-B93*$B$28-I93*B93*$B$9*F93</f>
        <v/>
      </c>
      <c r="H93" s="4">
        <f>(D93-C93*$B$5)*$C$15*F93-B93*($C$9/$B$9)*$B$28-I93*B93*$C$9*F93</f>
        <v/>
      </c>
      <c r="I93">
        <f>$B$16</f>
        <v/>
      </c>
      <c r="J93" s="4">
        <f>D93*$B$15-C93*$B$5*$B$15-B93*$B$9/$B$18</f>
        <v/>
      </c>
      <c r="K93" s="4">
        <f>IF($B$18&lt;$B$7,"not valid",G93-$B$17*MAX(0,J93)*F93)</f>
        <v/>
      </c>
      <c r="L93" s="4">
        <f>D93*$C$15-C93*$B$5*$C$15-B93*$C$9/$C$18</f>
        <v/>
      </c>
      <c r="M93" s="4">
        <f>IF($C$18&lt;$C$7,"not valid",H93-$B$17*MAX(0,L93)*F93)</f>
        <v/>
      </c>
    </row>
    <row r="94">
      <c r="A94" t="inlineStr">
        <is>
          <t>replacement capex at HK depreciation proxy (sensitivity, not sourced)</t>
        </is>
      </c>
      <c r="B94" t="n">
        <v>1</v>
      </c>
      <c r="C94" t="n">
        <v>1</v>
      </c>
      <c r="D94" t="n">
        <v>1</v>
      </c>
      <c r="E94" t="n">
        <v>0</v>
      </c>
      <c r="F94" s="3">
        <f>SUMPRODUCT($B$41:$B$63*($A$41:$A$63&gt;=$B$8+E94)*($A$41:$A$63&lt;$B$8+E94+$B$7))</f>
        <v/>
      </c>
      <c r="G94" s="4">
        <f>(D94-C94*$B$5)*$B$15*F94-B94*$B$28-I94*B94*$B$9*F94</f>
        <v/>
      </c>
      <c r="H94" s="4">
        <f>(D94-C94*$B$5)*$C$15*F94-B94*($C$9/$B$9)*$B$28-I94*B94*$C$9*F94</f>
        <v/>
      </c>
      <c r="I94">
        <f>Inputs!$C$168</f>
        <v/>
      </c>
      <c r="J94" s="4">
        <f>D94*$B$15-C94*$B$5*$B$15-B94*$B$9/$B$18</f>
        <v/>
      </c>
      <c r="K94" s="4">
        <f>IF($B$18&lt;$B$7,"not valid",G94-$B$17*MAX(0,J94)*F94)</f>
        <v/>
      </c>
      <c r="L94" s="4">
        <f>D94*$C$15-C94*$B$5*$C$15-B94*$C$9/$C$18</f>
        <v/>
      </c>
      <c r="M94" s="4">
        <f>IF($C$18&lt;$C$7,"not valid",H94-$B$17*MAX(0,L94)*F94)</f>
        <v/>
      </c>
    </row>
    <row r="96">
      <c r="A96" t="inlineStr">
        <is>
          <t>Check: base pre-tax NPV less B21 (about 0)</t>
        </is>
      </c>
      <c r="G96" s="4">
        <f>G68-B21</f>
        <v/>
      </c>
    </row>
    <row r="97">
      <c r="A97" t="inlineStr">
        <is>
          <t>Check: base after-tax NPV less B22 (about 0)</t>
        </is>
      </c>
      <c r="K97" s="4">
        <f>IF(ISNUMBER(B22),K68-B22,"n/a")</f>
        <v/>
      </c>
    </row>
    <row r="98">
      <c r="A98" t="inlineStr">
        <is>
          <t>Tax limitations, kept visible: (1) the ledger uses cumulative taxable income with unlimited loss carry-forward; the Thai rule expires losses after five years, so an expiry-aware schedule can give a different tax; (2) replacement capex is not deductible for tax (conservative); (3) tax depreciation is assumed to run over the operating life. Row 32 flags a breach of (3), and the after-tax outputs then read not valid.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2026-10-20T17:35:17Z</dcterms:created>
  <dcterms:modified xmlns:dcterms="http://purl.org/dc/terms/" xmlns:xsi="http://www.w3.org/2001/XMLSchema-instance" xsi:type="dcterms:W3CDTF">2026-10-20T17:35:17Z</dcterms:modified>
</cp:coreProperties>
</file>