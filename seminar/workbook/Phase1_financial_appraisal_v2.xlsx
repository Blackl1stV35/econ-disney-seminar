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ppraisal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cash flow before tax, park-only (THB bn)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'Appraisal'!J40</f>
            </strRef>
          </tx>
          <spPr>
            <a:ln xmlns:a="http://schemas.openxmlformats.org/drawingml/2006/main">
              <a:prstDash val="solid"/>
            </a:ln>
          </spPr>
          <cat>
            <numRef>
              <f>'Appraisal'!$A$41:$A$63</f>
            </numRef>
          </cat>
          <val>
            <numRef>
              <f>'Appraisal'!$J$41:$J$63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 bn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 flow after tax, park-only (THB bn)</a:t>
            </a:r>
          </a:p>
        </rich>
      </tx>
    </title>
    <plotArea>
      <lineChart>
        <grouping val="standard"/>
        <ser>
          <idx val="0"/>
          <order val="0"/>
          <tx>
            <strRef>
              <f>'Appraisal'!S40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'Appraisal'!$A$41:$A$63</f>
            </numRef>
          </cat>
          <val>
            <numRef>
              <f>'Appraisal'!$S$41:$S$63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 bn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before tax by sensitivity case (THB bn)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'Appraisal'!G67</f>
            </strRef>
          </tx>
          <spPr>
            <a:ln xmlns:a="http://schemas.openxmlformats.org/drawingml/2006/main">
              <a:prstDash val="solid"/>
            </a:ln>
          </spPr>
          <cat>
            <numRef>
              <f>'Appraisal'!$N$68:$N$94</f>
            </numRef>
          </cat>
          <val>
            <numRef>
              <f>'Appraisal'!$G$68:$G$94</f>
            </numRef>
          </val>
        </ser>
        <ser>
          <idx val="1"/>
          <order val="1"/>
          <tx>
            <strRef>
              <f>'Appraisal'!H67</f>
            </strRef>
          </tx>
          <spPr>
            <a:ln xmlns:a="http://schemas.openxmlformats.org/drawingml/2006/main">
              <a:prstDash val="solid"/>
            </a:ln>
          </spPr>
          <cat>
            <numRef>
              <f>'Appraisal'!$N$68:$N$94</f>
            </numRef>
          </cat>
          <val>
            <numRef>
              <f>'Appraisal'!$H$68:$H$94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 bn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26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50</row>
      <rowOff>0</rowOff>
    </from>
    <ext cx="9360000" cy="72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26" customWidth="1" min="2" max="2"/>
    <col width="16" customWidth="1" min="3" max="3"/>
    <col width="16" customWidth="1" min="4" max="4"/>
    <col width="16" customWidth="1" min="5" max="5"/>
    <col width="110" customWidth="1" min="6" max="6"/>
  </cols>
  <sheetData>
    <row r="1">
      <c r="A1" s="1" t="inlineStr">
        <is>
          <t>Parameter</t>
        </is>
      </c>
      <c r="B1" s="1" t="inlineStr">
        <is>
          <t>Unit</t>
        </is>
      </c>
      <c r="C1" s="1" t="inlineStr">
        <is>
          <t>Value (base case)</t>
        </is>
      </c>
      <c r="D1" s="1" t="inlineStr">
        <is>
          <t>Low case</t>
        </is>
      </c>
      <c r="E1" s="1" t="inlineStr">
        <is>
          <t>High case</t>
        </is>
      </c>
      <c r="F1" s="1" t="inlineStr">
        <is>
          <t>Source</t>
        </is>
      </c>
    </row>
    <row r="2">
      <c r="A2" t="inlineStr">
        <is>
          <t>Capex complex thb bn</t>
        </is>
      </c>
      <c r="B2" t="inlineStr">
        <is>
          <t>THB bn</t>
        </is>
      </c>
      <c r="C2" t="n">
        <v>300</v>
      </c>
      <c r="F2" t="inlineStr">
        <is>
          <t>Thai complex proposal, news reports (12 February 2026)</t>
        </is>
      </c>
    </row>
    <row r="3">
      <c r="A3" t="inlineStr">
        <is>
          <t>Capex park high thb bn</t>
        </is>
      </c>
      <c r="B3" t="inlineStr">
        <is>
          <t>THB bn</t>
        </is>
      </c>
      <c r="C3" t="n">
        <v>200</v>
      </c>
      <c r="F3" t="inlineStr">
        <is>
          <t>Thai park proposal, news reports (12 and 15 May 2026)</t>
        </is>
      </c>
    </row>
    <row r="4">
      <c r="A4" t="inlineStr">
        <is>
          <t>Capex park low thb bn</t>
        </is>
      </c>
      <c r="B4" t="inlineStr">
        <is>
          <t>THB bn</t>
        </is>
      </c>
      <c r="C4" t="n">
        <v>100</v>
      </c>
      <c r="F4" t="inlineStr">
        <is>
          <t>Thai park proposal, news report (27 March 2026)</t>
        </is>
      </c>
    </row>
    <row r="5">
      <c r="A5" t="inlineStr">
        <is>
          <t>Claim additional visitors million per year</t>
        </is>
      </c>
      <c r="B5" t="inlineStr">
        <is>
          <t>million visits per year</t>
        </is>
      </c>
      <c r="C5" t="n">
        <v>10</v>
      </c>
      <c r="F5" t="inlineStr">
        <is>
          <t>Thai government proposal claims, news reports (2026)</t>
        </is>
      </c>
    </row>
    <row r="6">
      <c r="A6" t="inlineStr">
        <is>
          <t>Claim revenue thb bn</t>
        </is>
      </c>
      <c r="B6" t="inlineStr">
        <is>
          <t>THB bn</t>
        </is>
      </c>
      <c r="C6" t="n">
        <v>150</v>
      </c>
      <c r="F6" t="inlineStr">
        <is>
          <t>Thai government proposal claims, news reports (2026)</t>
        </is>
      </c>
    </row>
    <row r="7">
      <c r="A7" t="inlineStr">
        <is>
          <t>Claim share of gdp percent per year</t>
        </is>
      </c>
      <c r="B7" t="inlineStr">
        <is>
          <t>percent per year of GDP growth</t>
        </is>
      </c>
      <c r="C7" t="n">
        <v>1</v>
      </c>
      <c r="F7" t="inlineStr">
        <is>
          <t>Thai government proposal claims, news reports (2026)</t>
        </is>
      </c>
    </row>
    <row r="8">
      <c r="A8" t="inlineStr">
        <is>
          <t>Discount rate eirr standard</t>
        </is>
      </c>
      <c r="B8" t="inlineStr">
        <is>
          <t>rate</t>
        </is>
      </c>
      <c r="C8" t="n">
        <v>0.09</v>
      </c>
      <c r="F8" t="inlineStr">
        <is>
          <t>ADB (2017) Guidelines for the Economic Analysis of Projects, paragraph 194 (printed page 53); DOI. http://dx.doi.org/10.22617/TIM178607-2</t>
        </is>
      </c>
    </row>
    <row r="9">
      <c r="A9" t="inlineStr">
        <is>
          <t>Discount rate eirr social sector</t>
        </is>
      </c>
      <c r="B9" t="inlineStr">
        <is>
          <t>rate</t>
        </is>
      </c>
      <c r="C9" t="n">
        <v>0.06</v>
      </c>
      <c r="F9" t="inlineStr">
        <is>
          <t>ADB (2017) Guidelines for the Economic Analysis of Projects, paragraph 194 (printed page 53); DOI. http://dx.doi.org/10.22617/TIM178607-2</t>
        </is>
      </c>
    </row>
    <row r="10">
      <c r="A10" t="inlineStr">
        <is>
          <t>Discount rate social nesdc</t>
        </is>
      </c>
      <c r="B10" t="inlineStr">
        <is>
          <t>rate</t>
        </is>
      </c>
      <c r="C10" t="n">
        <v>0.07000000000000001</v>
      </c>
      <c r="F10" t="inlineStr">
        <is>
          <t>NESDC (2024) Guide to Public Investment Project Appraisal, section 6.2.2 (PDF page 28); range in section 6.2.1 (PDF page 26); URL. https://www.nesdc.go.th/wp-content/uploads/2025/05/article_20241009124821.pdf</t>
        </is>
      </c>
    </row>
    <row r="11">
      <c r="A11" t="inlineStr">
        <is>
          <t>Discount rate social nesdc pre2025</t>
        </is>
      </c>
      <c r="B11" t="inlineStr">
        <is>
          <t>rate</t>
        </is>
      </c>
      <c r="C11" t="n">
        <v>0.12</v>
      </c>
      <c r="F11" t="inlineStr">
        <is>
          <t>NESDC (2024) Guide to Public Investment Project Appraisal, section 6.2.2 (PDF page 28); URL. https://www.nesdc.go.th/wp-content/uploads/2025/05/article_20241009124821.pdf</t>
        </is>
      </c>
    </row>
    <row r="12">
      <c r="A12" t="inlineStr">
        <is>
          <t>Conversion factor standard</t>
        </is>
      </c>
      <c r="B12" t="inlineStr">
        <is>
          <t>ratio</t>
        </is>
      </c>
      <c r="C12" t="n">
        <v>0.7</v>
      </c>
      <c r="F12" t="inlineStr">
        <is>
          <t>NESDC (2024) Guide to Public Investment Project Appraisal, summary of changes (PDF page 5); used when shadow prices cannot be computed; URL. https://www.nesdc.go.th/wp-content/uploads/2025/05/article_20241009124821.pdf</t>
        </is>
      </c>
    </row>
    <row r="13">
      <c r="A13" t="inlineStr">
        <is>
          <t>Project life years</t>
        </is>
      </c>
      <c r="B13" t="inlineStr">
        <is>
          <t>years</t>
        </is>
      </c>
      <c r="C13" t="n">
        <v>20</v>
      </c>
      <c r="F13" t="inlineStr">
        <is>
          <t>NESDC Requirement</t>
        </is>
      </c>
    </row>
    <row r="14">
      <c r="A14" t="inlineStr">
        <is>
          <t>Wacc financial</t>
        </is>
      </c>
      <c r="B14" t="inlineStr">
        <is>
          <t>rate</t>
        </is>
      </c>
      <c r="C14" t="n">
        <v>0.08</v>
      </c>
      <c r="F14" t="inlineStr">
        <is>
          <t>NESDC Requirement</t>
        </is>
      </c>
    </row>
    <row r="15">
      <c r="A15" t="inlineStr">
        <is>
          <t>Attendance million per year</t>
        </is>
      </c>
      <c r="B15" t="inlineStr">
        <is>
          <t>million visits per year</t>
        </is>
      </c>
      <c r="C15" t="n">
        <v>7.5</v>
      </c>
      <c r="F15" t="inlineStr">
        <is>
          <t>NESDC Assumption</t>
        </is>
      </c>
    </row>
    <row r="16">
      <c r="A16" t="inlineStr">
        <is>
          <t>Incremental share</t>
        </is>
      </c>
      <c r="B16" t="inlineStr">
        <is>
          <t>share</t>
        </is>
      </c>
      <c r="C16" t="n">
        <v>0.3</v>
      </c>
      <c r="F16" t="inlineStr">
        <is>
          <t>NESDC Assumption</t>
        </is>
      </c>
    </row>
    <row r="17">
      <c r="A17" t="inlineStr">
        <is>
          <t>Displacement share</t>
        </is>
      </c>
      <c r="B17" t="inlineStr">
        <is>
          <t>share</t>
        </is>
      </c>
      <c r="C17" t="n">
        <v>0.3</v>
      </c>
      <c r="F17" t="inlineStr">
        <is>
          <t>NESDC Assumption</t>
        </is>
      </c>
    </row>
    <row r="18">
      <c r="A18" t="inlineStr">
        <is>
          <t>Spend per visit thb</t>
        </is>
      </c>
      <c r="B18" t="inlineStr">
        <is>
          <t>THB per incremental visit</t>
        </is>
      </c>
      <c r="C18" s="2" t="n">
        <v>10000</v>
      </c>
      <c r="F18" t="inlineStr">
        <is>
          <t>NESDC Assumption (base and high); Oriental Land Co., Tokyo Disney Resort FY3/2026, on-site spending per guest (low)</t>
        </is>
      </c>
    </row>
    <row r="19">
      <c r="A19" t="inlineStr">
        <is>
          <t>Domestic retention share</t>
        </is>
      </c>
      <c r="B19" t="inlineStr">
        <is>
          <t>share</t>
        </is>
      </c>
      <c r="C19" t="n">
        <v>0.5</v>
      </c>
      <c r="F19" t="inlineStr">
        <is>
          <t>NESDC Assumption</t>
        </is>
      </c>
    </row>
    <row r="20">
      <c r="A20" t="inlineStr">
        <is>
          <t>Tax share of spend</t>
        </is>
      </c>
      <c r="B20" t="inlineStr">
        <is>
          <t>share of net spending</t>
        </is>
      </c>
      <c r="C20" t="n">
        <v>0.06542100000000001</v>
      </c>
      <c r="F20" t="inlineStr">
        <is>
          <t>NESDC Assumption; VAT rate, Revenue Department, https://www.rd.go.th/english/37732.html</t>
        </is>
      </c>
    </row>
    <row r="21">
      <c r="A21" t="inlineStr">
        <is>
          <t>Opex thb bn per year</t>
        </is>
      </c>
      <c r="B21" t="inlineStr">
        <is>
          <t>THB bn per year</t>
        </is>
      </c>
      <c r="C21" t="n">
        <v>13.3</v>
      </c>
      <c r="F21" t="inlineStr">
        <is>
          <t>NESDC Assumption</t>
        </is>
      </c>
    </row>
    <row r="22">
      <c r="A22" t="inlineStr">
        <is>
          <t>Exchange rate thb per usd</t>
        </is>
      </c>
      <c r="B22" t="inlineStr">
        <is>
          <t>THB per USD</t>
        </is>
      </c>
      <c r="C22" t="n">
        <v>33.521</v>
      </c>
      <c r="F22" t="inlineStr">
        <is>
          <t>https://app.bot.or.th/BTWS_STAT/statistics/BOTWEBSTAT.aspx?reportID=123&amp;language=ENG</t>
        </is>
      </c>
    </row>
    <row r="23">
      <c r="A23" t="inlineStr">
        <is>
          <t>Utapao passengers calendar 2024</t>
        </is>
      </c>
      <c r="B23" t="inlineStr">
        <is>
          <t>passengers</t>
        </is>
      </c>
      <c r="C23" s="2" t="n">
        <v>384881</v>
      </c>
      <c r="F23" t="inlineStr">
        <is>
          <t>https://datagov.mot.go.th/en/api/3/action/datastore_search?resource_id=3854cc5d-5e79-4450-a29f-2183242fc92c</t>
        </is>
      </c>
    </row>
    <row r="24">
      <c r="A24" t="inlineStr">
        <is>
          <t>Utapao passengers oct2023 sep2024</t>
        </is>
      </c>
      <c r="B24" t="inlineStr">
        <is>
          <t>passengers</t>
        </is>
      </c>
      <c r="C24" s="2" t="n">
        <v>370210</v>
      </c>
      <c r="F24" t="inlineStr">
        <is>
          <t>https://www.uta.co.th/airport-airportcity/airport-terminal</t>
        </is>
      </c>
    </row>
    <row r="25">
      <c r="A25" t="inlineStr">
        <is>
          <t>Utapao passengers 2019</t>
        </is>
      </c>
      <c r="B25" t="inlineStr">
        <is>
          <t>passengers</t>
        </is>
      </c>
      <c r="C25" s="2" t="n">
        <v>1665004</v>
      </c>
      <c r="F25" t="inlineStr">
        <is>
          <t>https://www.uta.co.th/airport-airportcity/airport-terminal</t>
        </is>
      </c>
    </row>
    <row r="26">
      <c r="A26" t="inlineStr">
        <is>
          <t>Utapao terminal capacity passengers per year</t>
        </is>
      </c>
      <c r="B26" t="inlineStr">
        <is>
          <t>passengers per year</t>
        </is>
      </c>
      <c r="C26" s="2" t="n">
        <v>3700000</v>
      </c>
      <c r="F26" t="inlineStr">
        <is>
          <t>U-Tapao Airport and Eastern Aviation City, EEC Office. https://www.eeco.or.th/en/u-tapao-airport-and-eastern-aviation-city/</t>
        </is>
      </c>
    </row>
    <row r="27">
      <c r="A27" t="inlineStr">
        <is>
          <t>Utapao project max capacity passengers per year</t>
        </is>
      </c>
      <c r="B27" t="inlineStr">
        <is>
          <t>passengers per year</t>
        </is>
      </c>
      <c r="C27" s="2" t="n">
        <v>60000000</v>
      </c>
      <c r="F27" t="inlineStr">
        <is>
          <t>U-Tapao Airport and Eastern Aviation City, EEC Office. https://www.eeco.or.th/en/u-tapao-airport-and-eastern-aviation-city/</t>
        </is>
      </c>
    </row>
    <row r="28">
      <c r="A28" t="inlineStr">
        <is>
          <t>Suvarnabhumi passengers 2019</t>
        </is>
      </c>
      <c r="B28" t="inlineStr">
        <is>
          <t>passengers</t>
        </is>
      </c>
      <c r="C28" s="2" t="n">
        <v>65425879</v>
      </c>
      <c r="F28" t="inlineStr">
        <is>
          <t>https://www.airportthai.co.th/wp-content/uploads/2026/06/ANNUAL-REPORT-2025.pdf</t>
        </is>
      </c>
    </row>
    <row r="29">
      <c r="A29" t="inlineStr">
        <is>
          <t>Suvarnabhumi passengers calendar 2024</t>
        </is>
      </c>
      <c r="B29" t="inlineStr">
        <is>
          <t>passengers</t>
        </is>
      </c>
      <c r="C29" s="2" t="n">
        <v>62234693</v>
      </c>
      <c r="F29" t="inlineStr">
        <is>
          <t>https://investor.airportthai.co.th/misc/statistic/2025/20250117-aot-traffic-fiscal-2024-12m.pdf</t>
        </is>
      </c>
    </row>
    <row r="30">
      <c r="A30" t="inlineStr">
        <is>
          <t>Don mueang passengers calendar 2024</t>
        </is>
      </c>
      <c r="B30" t="inlineStr">
        <is>
          <t>passengers</t>
        </is>
      </c>
      <c r="C30" s="2" t="n">
        <v>30490635</v>
      </c>
      <c r="F30" t="inlineStr">
        <is>
          <t>https://investor.airportthai.co.th/misc/statistic/2025/20250117-aot-traffic-fiscal-2024-12m.pdf</t>
        </is>
      </c>
    </row>
    <row r="31">
      <c r="A31" t="inlineStr">
        <is>
          <t>Don mueang passengers 2019</t>
        </is>
      </c>
      <c r="B31" t="inlineStr">
        <is>
          <t>passengers</t>
        </is>
      </c>
      <c r="C31" s="2" t="n">
        <v>41313439</v>
      </c>
      <c r="F31" t="inlineStr">
        <is>
          <t>https://www.airportthai.co.th/wp-content/uploads/2026/06/ANNUAL-REPORT-2025.pdf</t>
        </is>
      </c>
    </row>
    <row r="32">
      <c r="A32" t="inlineStr">
        <is>
          <t>Don mueang design capacity passengers per year</t>
        </is>
      </c>
      <c r="B32" t="inlineStr">
        <is>
          <t>passengers per year</t>
        </is>
      </c>
      <c r="C32" s="2" t="n">
        <v>30000000</v>
      </c>
      <c r="F32" t="inlineStr">
        <is>
          <t>https://donmueang.airportthai.co.th/about-us</t>
        </is>
      </c>
    </row>
    <row r="33">
      <c r="A33" t="inlineStr">
        <is>
          <t>Aot six airports passengers fy2023</t>
        </is>
      </c>
      <c r="B33" t="inlineStr">
        <is>
          <t>passengers</t>
        </is>
      </c>
      <c r="C33" s="2" t="n">
        <v>100058695</v>
      </c>
      <c r="F33" t="inlineStr">
        <is>
          <t>https://investor.airportthai.co.th/misc/statistic/2023/20231017-aot-traffic-fiscal-2023-12m.pdf</t>
        </is>
      </c>
    </row>
    <row r="34">
      <c r="A34" t="inlineStr">
        <is>
          <t>Aot six airports passengers calendar 2024 2025</t>
        </is>
      </c>
      <c r="B34" t="inlineStr">
        <is>
          <t>passengers</t>
        </is>
      </c>
      <c r="C34" s="2" t="n">
        <v>124033786</v>
      </c>
      <c r="F34" t="inlineStr">
        <is>
          <t>https://investor.airportthai.co.th/misc/statistic/2025/20250117-aot-traffic-fiscal-2024-12m.pdf</t>
        </is>
      </c>
    </row>
    <row r="35">
      <c r="A35" t="inlineStr">
        <is>
          <t>Hotel guesthouse rooms 2022</t>
        </is>
      </c>
      <c r="B35" t="inlineStr">
        <is>
          <t>rooms</t>
        </is>
      </c>
      <c r="C35" s="2" t="n">
        <v>956372</v>
      </c>
      <c r="F35" t="inlineStr">
        <is>
          <t>Statistical Yearbook Thailand 2024, Table 17.4 Principal Statistics on Hotels and Guest House Establishment (NSO). https://www.nso.go.th/public/e-book/Statistical-Yearbook/SYB-2024/543</t>
        </is>
      </c>
    </row>
    <row r="36">
      <c r="A36" t="inlineStr">
        <is>
          <t>Hotel guesthouse establishments 2022</t>
        </is>
      </c>
      <c r="B36" t="inlineStr">
        <is>
          <t>establishments</t>
        </is>
      </c>
      <c r="C36" s="2" t="n">
        <v>30786</v>
      </c>
      <c r="F36" t="inlineStr">
        <is>
          <t>Statistical Yearbook Thailand 2024, Table 17.4 (NSO). https://www.nso.go.th/public/e-book/Statistical-Yearbook/SYB-2024/543</t>
        </is>
      </c>
    </row>
    <row r="37">
      <c r="A37" t="inlineStr">
        <is>
          <t>Hotel guesthouse rooms 2019</t>
        </is>
      </c>
      <c r="B37" t="inlineStr">
        <is>
          <t>rooms</t>
        </is>
      </c>
      <c r="C37" s="2" t="n">
        <v>719300</v>
      </c>
      <c r="F37" t="inlineStr">
        <is>
          <t>https://www.nso.go.th/public/e-book/Statistical-Yearbook/SYB-2024/532</t>
        </is>
      </c>
    </row>
    <row r="38">
      <c r="A38" t="inlineStr">
        <is>
          <t>Chonburi accommodation rooms 2024 or 2025</t>
        </is>
      </c>
      <c r="B38" t="inlineStr">
        <is>
          <t>rooms</t>
        </is>
      </c>
      <c r="C38" s="2" t="n">
        <v>31581</v>
      </c>
      <c r="F38" t="inlineStr">
        <is>
          <t>CBRE, Pattaya Overall Figures H2 2024, https://www.cbre.com/insights/figures/pattaya-overall-figures-h2-2024</t>
        </is>
      </c>
    </row>
    <row r="39">
      <c r="A39" t="inlineStr">
        <is>
          <t>Pattaya hotel keys h2 2024</t>
        </is>
      </c>
      <c r="B39" t="inlineStr">
        <is>
          <t>hotel keys (rooms)</t>
        </is>
      </c>
      <c r="C39" s="2" t="n">
        <v>31581</v>
      </c>
      <c r="F39" t="inlineStr">
        <is>
          <t>Pattaya Overall Figures H2 2024, CBRE Thailand. https://www.cbre.com/insights/figures/pattaya-overall-figures-h2-2024</t>
        </is>
      </c>
    </row>
    <row r="40">
      <c r="A40" t="inlineStr">
        <is>
          <t>Pattaya hotel keys h2 2025</t>
        </is>
      </c>
      <c r="B40" t="inlineStr">
        <is>
          <t>hotel keys (rooms)</t>
        </is>
      </c>
      <c r="C40" s="2" t="n">
        <v>34743</v>
      </c>
      <c r="F40" t="inlineStr">
        <is>
          <t>Pattaya Overall Figures H2 2025, CBRE. https://www.cbre.com/insights/figures/pattaya-overall-figures-h2-2025</t>
        </is>
      </c>
    </row>
    <row r="41">
      <c r="A41" t="inlineStr">
        <is>
          <t>Pattaya occupancy 2024 cbre</t>
        </is>
      </c>
      <c r="B41" t="inlineStr">
        <is>
          <t>percent</t>
        </is>
      </c>
      <c r="C41" t="n">
        <v>71</v>
      </c>
      <c r="F41" t="inlineStr">
        <is>
          <t>Pattaya Overall Figures H2 2024, CBRE Thailand. https://www.cbre.com/insights/figures/pattaya-overall-figures-h2-2024</t>
        </is>
      </c>
    </row>
    <row r="42">
      <c r="A42" t="inlineStr">
        <is>
          <t>Chonburi occupancy 2024 tat</t>
        </is>
      </c>
      <c r="B42" t="inlineStr">
        <is>
          <t>percent</t>
        </is>
      </c>
      <c r="C42" t="n">
        <v>80.42</v>
      </c>
      <c r="F42" t="inlineStr">
        <is>
          <t>https://www.nso.go.th/nsoweb/downloadFile/stat_main_nso/FgpN/file_th</t>
        </is>
      </c>
    </row>
    <row r="43">
      <c r="A43" t="inlineStr">
        <is>
          <t>Pattaya occupancy 2025</t>
        </is>
      </c>
      <c r="B43" t="inlineStr">
        <is>
          <t>percent (H2 2025 only)</t>
        </is>
      </c>
      <c r="C43" t="n">
        <v>65.5</v>
      </c>
      <c r="F43" t="inlineStr">
        <is>
          <t>https://mktgdocs.cbre.com/2299/175bc843-73b5-4940-a859-14bd0f57a6a1-1295998069/Pattaya-Overall-Figures-H2-202.pdf</t>
        </is>
      </c>
    </row>
    <row r="44">
      <c r="A44" t="inlineStr">
        <is>
          <t>Chonburi occupancy 2019 tat</t>
        </is>
      </c>
      <c r="B44" t="inlineStr">
        <is>
          <t>percent</t>
        </is>
      </c>
      <c r="C44" t="n">
        <v>80.40000000000001</v>
      </c>
      <c r="F44" t="inlineStr">
        <is>
          <t>No external source located</t>
        </is>
      </c>
    </row>
    <row r="45">
      <c r="A45" t="inlineStr">
        <is>
          <t>Chonburi tourists jan nov 2024</t>
        </is>
      </c>
      <c r="B45" t="inlineStr">
        <is>
          <t>persons</t>
        </is>
      </c>
      <c r="C45" s="2" t="n">
        <v>24780000</v>
      </c>
      <c r="F45" t="inlineStr">
        <is>
          <t>No external source located</t>
        </is>
      </c>
    </row>
    <row r="46">
      <c r="A46" t="inlineStr">
        <is>
          <t>Chonburi foreign visitors jan nov 2024</t>
        </is>
      </c>
      <c r="B46" t="inlineStr">
        <is>
          <t>persons</t>
        </is>
      </c>
      <c r="C46" s="2" t="n">
        <v>10450000</v>
      </c>
      <c r="F46" t="inlineStr">
        <is>
          <t>No external source located</t>
        </is>
      </c>
    </row>
    <row r="47">
      <c r="A47" t="inlineStr">
        <is>
          <t>Chonburi foreign arrivals 2024 full year</t>
        </is>
      </c>
      <c r="B47" t="inlineStr">
        <is>
          <t>persons</t>
        </is>
      </c>
      <c r="C47" s="2" t="n">
        <v>11689827</v>
      </c>
      <c r="F47" t="inlineStr">
        <is>
          <t>https://intelligencecenter.tat.or.th/articles/9907</t>
        </is>
      </c>
    </row>
    <row r="48">
      <c r="A48" t="inlineStr">
        <is>
          <t>Chonburi foreign arrivals 2019</t>
        </is>
      </c>
      <c r="B48" t="inlineStr">
        <is>
          <t>persons</t>
        </is>
      </c>
      <c r="C48" s="2" t="n">
        <v>9966574</v>
      </c>
      <c r="F48" t="inlineStr">
        <is>
          <t>https://intelligencecenter.tat.or.th/articles/9907</t>
        </is>
      </c>
    </row>
    <row r="49">
      <c r="A49" t="inlineStr">
        <is>
          <t>Utapao expansion progress overall percent</t>
        </is>
      </c>
      <c r="B49" t="inlineStr">
        <is>
          <t>percent complete</t>
        </is>
      </c>
      <c r="F49" t="inlineStr">
        <is>
          <t>https://www.eeco.or.th/en/u-tapao-airport-and-eastern-aviation-city/</t>
        </is>
      </c>
    </row>
    <row r="50">
      <c r="A50" t="inlineStr">
        <is>
          <t>Utapao expansion opening year</t>
        </is>
      </c>
      <c r="B50" t="inlineStr">
        <is>
          <t>calendar year</t>
        </is>
      </c>
      <c r="C50" s="2" t="n">
        <v>2031</v>
      </c>
      <c r="F50" t="inlineStr">
        <is>
          <t>https://www.britishaviationgroup.co.uk/?p=24880</t>
        </is>
      </c>
    </row>
    <row r="51">
      <c r="A51" t="inlineStr">
        <is>
          <t>High speed rail full service year eeco</t>
        </is>
      </c>
      <c r="B51" t="inlineStr">
        <is>
          <t>calendar year</t>
        </is>
      </c>
      <c r="C51" s="2" t="n">
        <v>2031</v>
      </c>
      <c r="F51" t="inlineStr">
        <is>
          <t>High-speed rail linking three airports, EEC Office. https://www.eeco.or.th/en/high-speed-rail-linking-three-airports/</t>
        </is>
      </c>
    </row>
    <row r="52">
      <c r="A52" t="inlineStr">
        <is>
          <t>High speed rail full service year wikipedia</t>
        </is>
      </c>
      <c r="B52" t="inlineStr">
        <is>
          <t>calendar year</t>
        </is>
      </c>
      <c r="C52" s="2" t="n">
        <v>2029</v>
      </c>
      <c r="F52" t="inlineStr">
        <is>
          <t>Don Mueang-Suvarnabhumi-U-Tapao high-speed railway, Wikipedia. https://en.wikipedia.org/wiki/Don_Mueang%E2%80%93Suvarnabhumi%E2%80%93U-Tapao_high-speed_railway</t>
        </is>
      </c>
    </row>
    <row r="53">
      <c r="A53" t="inlineStr">
        <is>
          <t>High speed rail status sep 2026</t>
        </is>
      </c>
      <c r="B53" t="inlineStr">
        <is>
          <t>text</t>
        </is>
      </c>
      <c r="F53" t="inlineStr">
        <is>
          <t>Uttapao and High-Speed Rail: EEC's Make-or-Break Infrastructure Bet, Nation Thailand (7 Sep 2026). https://www.nationthailand.com/business/economy/40070765</t>
        </is>
      </c>
    </row>
    <row r="54">
      <c r="A54" t="inlineStr">
        <is>
          <t>Motorway7 utapao extension length km</t>
        </is>
      </c>
      <c r="B54" t="inlineStr">
        <is>
          <t>kilometres</t>
        </is>
      </c>
      <c r="C54" t="n">
        <v>1.92</v>
      </c>
      <c r="F54" t="inlineStr">
        <is>
          <t>ADB news release, Thailand EEC infrastructure, 6 June 2025. https://www.adb.org/news/adb-supports-resilient-infrastructure-development-eastern-thailand</t>
        </is>
      </c>
    </row>
    <row r="55">
      <c r="A55" t="inlineStr">
        <is>
          <t>Motorway7 utapao extension completion year</t>
        </is>
      </c>
      <c r="B55" t="inlineStr">
        <is>
          <t>calendar year</t>
        </is>
      </c>
      <c r="C55" s="2" t="n">
        <v>2028</v>
      </c>
      <c r="F55" t="inlineStr">
        <is>
          <t>https://www.thansettakij.com/economy/megaproject/630463</t>
        </is>
      </c>
    </row>
    <row r="56">
      <c r="A56" t="inlineStr">
        <is>
          <t>Pattaya map ta phut motorway7 opening year</t>
        </is>
      </c>
      <c r="B56" t="inlineStr">
        <is>
          <t>calendar year (opened August 2020)</t>
        </is>
      </c>
      <c r="C56" s="2" t="n">
        <v>2020</v>
      </c>
      <c r="F56" t="inlineStr">
        <is>
          <t>Thai Prime Minister opens Pattaya-Map Ta Phut Highway, Pattaya Mail (24 Aug 2020). https://www.pattayamail.com/news/thai-prime-minister-opens-pattaya-map-ta-phut-highway-312223</t>
        </is>
      </c>
    </row>
    <row r="57">
      <c r="A57" t="inlineStr">
        <is>
          <t>Tat spend per trip all nationalities 2023</t>
        </is>
      </c>
      <c r="B57" t="inlineStr">
        <is>
          <t>THB per trip</t>
        </is>
      </c>
      <c r="C57" s="2" t="n">
        <v>50900</v>
      </c>
      <c r="F57" t="inlineStr">
        <is>
          <t>No external source located</t>
        </is>
      </c>
    </row>
    <row r="58">
      <c r="A58" t="inlineStr">
        <is>
          <t>Tat spend per trip middle eastern 2023</t>
        </is>
      </c>
      <c r="B58" t="inlineStr">
        <is>
          <t>THB per person per trip</t>
        </is>
      </c>
      <c r="C58" s="2" t="n">
        <v>88512</v>
      </c>
      <c r="F58" t="inlineStr">
        <is>
          <t>No external source located</t>
        </is>
      </c>
    </row>
    <row r="59">
      <c r="A59" t="inlineStr">
        <is>
          <t>Tat spend per day uae 2023</t>
        </is>
      </c>
      <c r="B59" t="inlineStr">
        <is>
          <t>THB per person per day</t>
        </is>
      </c>
      <c r="C59" s="2" t="n">
        <v>8834</v>
      </c>
      <c r="F59" t="inlineStr">
        <is>
          <t>No external source located</t>
        </is>
      </c>
    </row>
    <row r="60">
      <c r="A60" t="inlineStr">
        <is>
          <t>Tat spend per night by nationality 2024 2025</t>
        </is>
      </c>
      <c r="B60" t="inlineStr">
        <is>
          <t>THB per person per night</t>
        </is>
      </c>
      <c r="F60" t="inlineStr">
        <is>
          <t>No external source located</t>
        </is>
      </c>
    </row>
    <row r="61">
      <c r="A61" t="inlineStr">
        <is>
          <t>Tat spend per trip by nationality 2024 2025 official</t>
        </is>
      </c>
      <c r="B61" t="inlineStr">
        <is>
          <t>THB per person per trip</t>
        </is>
      </c>
      <c r="F61" t="inlineStr">
        <is>
          <t>https://www.tatnews.org/?p=84576</t>
        </is>
      </c>
    </row>
    <row r="62">
      <c r="A62" t="inlineStr">
        <is>
          <t>Mots spend per trip all tourists 2019</t>
        </is>
      </c>
      <c r="B62" t="inlineStr">
        <is>
          <t>THB per international tourist per trip</t>
        </is>
      </c>
      <c r="C62" s="2" t="n">
        <v>48580</v>
      </c>
      <c r="F62" t="inlineStr">
        <is>
          <t>https://www.mots.go.th/download/article/article_20200123132729.pdf</t>
        </is>
      </c>
    </row>
    <row r="63">
      <c r="A63" t="inlineStr">
        <is>
          <t>Mots spend per day all tourists 2019</t>
        </is>
      </c>
      <c r="B63" t="inlineStr">
        <is>
          <t>THB per international tourist per day</t>
        </is>
      </c>
      <c r="C63" s="2" t="n">
        <v>5172.29</v>
      </c>
      <c r="F63" t="inlineStr">
        <is>
          <t>https://www.mots.go.th/download/article/article_20201104090605.pdf</t>
        </is>
      </c>
    </row>
    <row r="64">
      <c r="A64" t="inlineStr">
        <is>
          <t>Intl avg length of stay 2016 days</t>
        </is>
      </c>
      <c r="B64" t="inlineStr">
        <is>
          <t>days</t>
        </is>
      </c>
      <c r="C64" t="n">
        <v>9.6</v>
      </c>
      <c r="F64" t="inlineStr">
        <is>
          <t>https://www.nso.go.th/public/e-book/Indicators-Economic/Indicators-Economic-2562/files/assets/basic-html/page134.html</t>
        </is>
      </c>
    </row>
    <row r="65">
      <c r="A65" t="inlineStr">
        <is>
          <t>Intl avg length of stay 2024 days</t>
        </is>
      </c>
      <c r="B65" t="inlineStr">
        <is>
          <t>days</t>
        </is>
      </c>
      <c r="C65" t="n">
        <v>9.4</v>
      </c>
      <c r="F65" t="inlineStr">
        <is>
          <t>https://www.mots.go.th/images/v2022_c1331820-8936-4423-84cd-65278cebf658.xlsx</t>
        </is>
      </c>
    </row>
    <row r="66">
      <c r="A66" t="inlineStr">
        <is>
          <t>Intl first visit share 2024</t>
        </is>
      </c>
      <c r="B66" t="inlineStr">
        <is>
          <t>percent of international arrivals on first visit</t>
        </is>
      </c>
      <c r="F66" t="inlineStr">
        <is>
          <t>No external source located</t>
        </is>
      </c>
    </row>
    <row r="67">
      <c r="A67" t="inlineStr">
        <is>
          <t>Thai domestic spend per trip 2024</t>
        </is>
      </c>
      <c r="B67" t="inlineStr">
        <is>
          <t>THB per person per domestic trip</t>
        </is>
      </c>
      <c r="C67" s="2" t="n">
        <v>4000</v>
      </c>
      <c r="F67" t="inlineStr">
        <is>
          <t>No external source located</t>
        </is>
      </c>
    </row>
    <row r="68">
      <c r="A68" t="inlineStr">
        <is>
          <t>Thai resident attraction visit share 2024</t>
        </is>
      </c>
      <c r="B68" t="inlineStr">
        <is>
          <t>percent of attraction visits by Thai residents</t>
        </is>
      </c>
      <c r="F68" t="inlineStr">
        <is>
          <t>No external source located</t>
        </is>
      </c>
    </row>
    <row r="69">
      <c r="A69" t="inlineStr">
        <is>
          <t>Intl arrivals 2025</t>
        </is>
      </c>
      <c r="B69" t="inlineStr">
        <is>
          <t>persons</t>
        </is>
      </c>
      <c r="C69" s="2" t="n">
        <v>32974321</v>
      </c>
      <c r="F69" t="inlineStr">
        <is>
          <t>https://www.mots.go.th/images/v2022_5a7fbad7-1fcf-4410-a387-f29bb17486e2.xlsx</t>
        </is>
      </c>
    </row>
    <row r="70">
      <c r="A70" t="inlineStr">
        <is>
          <t>Intl arrivals 2024</t>
        </is>
      </c>
      <c r="B70" t="inlineStr">
        <is>
          <t>persons</t>
        </is>
      </c>
      <c r="C70" s="2" t="n">
        <v>35545714</v>
      </c>
      <c r="F70" t="inlineStr">
        <is>
          <t>https://www.mots.go.th/images/v2022_875a5789-3bcc-4700-bf55-b86fa7f1053c.xlsx</t>
        </is>
      </c>
    </row>
    <row r="71">
      <c r="A71" t="inlineStr">
        <is>
          <t>Intl arrivals 2019</t>
        </is>
      </c>
      <c r="B71" t="inlineStr">
        <is>
          <t>persons</t>
        </is>
      </c>
      <c r="C71" s="2" t="n">
        <v>39916251</v>
      </c>
      <c r="F71" t="inlineStr">
        <is>
          <t>https://www.mots.go.th/download/article/article_20201103140333.xlsx</t>
        </is>
      </c>
    </row>
    <row r="72">
      <c r="A72" t="inlineStr">
        <is>
          <t>Intl arrivals 2020</t>
        </is>
      </c>
      <c r="B72" t="inlineStr">
        <is>
          <t>persons</t>
        </is>
      </c>
      <c r="C72" s="2" t="n">
        <v>6725000</v>
      </c>
      <c r="F72" t="inlineStr">
        <is>
          <t>https://www.nso.go.th/public/e-book/Indicators-Economic/Thai_Economic_Indicators_2025/158</t>
        </is>
      </c>
    </row>
    <row r="73">
      <c r="A73" t="inlineStr">
        <is>
          <t>Intl tourism receipts 2025 mots</t>
        </is>
      </c>
      <c r="B73" t="inlineStr">
        <is>
          <t>THB bn</t>
        </is>
      </c>
      <c r="C73" s="2" t="n">
        <v>1587.208</v>
      </c>
      <c r="F73" t="inlineStr">
        <is>
          <t>https://www.mots.go.th/images/v2022_5a7fbad7-1fcf-4410-a387-f29bb17486e2.xlsx</t>
        </is>
      </c>
    </row>
    <row r="74">
      <c r="A74" t="inlineStr">
        <is>
          <t>Intl tourism receipts 2024 mots</t>
        </is>
      </c>
      <c r="B74" t="inlineStr">
        <is>
          <t>THB bn</t>
        </is>
      </c>
      <c r="C74" s="2" t="n">
        <v>1612.603</v>
      </c>
      <c r="F74" t="inlineStr">
        <is>
          <t>https://www.mots.go.th/images/v2022_c1331820-8936-4423-84cd-65278cebf658.xlsx</t>
        </is>
      </c>
    </row>
    <row r="75">
      <c r="A75" t="inlineStr">
        <is>
          <t>Intl tourism receipts usd wdi 2019</t>
        </is>
      </c>
      <c r="B75" t="inlineStr">
        <is>
          <t>US$ bn</t>
        </is>
      </c>
      <c r="C75" t="n">
        <v>59.81</v>
      </c>
      <c r="F75" t="inlineStr">
        <is>
          <t>World Bank API, indicator ST.INT.TVLR.CD (international tourism receipts for travel items), Thailand. https://api.worldbank.org/v2/country/THA/indicator/ST.INT.TVLR.CD?format=json&amp;date=2015:2025&amp;per_page=100</t>
        </is>
      </c>
    </row>
    <row r="76">
      <c r="A76" t="inlineStr">
        <is>
          <t>Intl tourism receipts usd wdi 2020</t>
        </is>
      </c>
      <c r="B76" t="inlineStr">
        <is>
          <t>US$ bn</t>
        </is>
      </c>
      <c r="C76" t="n">
        <v>14.198</v>
      </c>
      <c r="F76" t="inlineStr">
        <is>
          <t>World Bank API, indicator ST.INT.TVLR.CD (international tourism receipts for travel items), Thailand. https://api.worldbank.org/v2/country/THA/indicator/ST.INT.TVLR.CD?format=json&amp;date=2015:2025&amp;per_page=100</t>
        </is>
      </c>
    </row>
    <row r="77">
      <c r="A77" t="inlineStr">
        <is>
          <t>Intl tourism receipts bot thb bn 2019 2025</t>
        </is>
      </c>
      <c r="B77" t="inlineStr">
        <is>
          <t>THB bn</t>
        </is>
      </c>
      <c r="C77" s="2" t="n">
        <v>1400</v>
      </c>
      <c r="F77" t="inlineStr">
        <is>
          <t>No external source located</t>
        </is>
      </c>
    </row>
    <row r="78">
      <c r="A78" t="inlineStr">
        <is>
          <t>Ticket price ocean park adult hkd</t>
        </is>
      </c>
      <c r="B78" t="inlineStr">
        <is>
          <t>HK$ per adult admission</t>
        </is>
      </c>
      <c r="C78" t="n">
        <v>498</v>
      </c>
      <c r="F78" t="inlineStr">
        <is>
          <t>Australasian Leisure Management, Ocean Park entrance prices (2019), https://www.ausleisure.com.au/news/entrance-prices-at-hong-kongs-ocean-park-rise-by-4</t>
        </is>
      </c>
    </row>
    <row r="79">
      <c r="A79" t="inlineStr">
        <is>
          <t>Ticket price universal studios singapore adult sgd</t>
        </is>
      </c>
      <c r="B79" t="inlineStr">
        <is>
          <t>SGD per adult ticket</t>
        </is>
      </c>
      <c r="C79" t="n">
        <v>76</v>
      </c>
      <c r="F79" t="inlineStr">
        <is>
          <t>https://www.rwsentosa.com/en/play/universal-studios-singapore/tickets</t>
        </is>
      </c>
    </row>
    <row r="80">
      <c r="A80" t="inlineStr">
        <is>
          <t>Tsa attraction recreation spending share 2022</t>
        </is>
      </c>
      <c r="B80" t="inlineStr">
        <is>
          <t>percent of visitor spending on attractions or recreation</t>
        </is>
      </c>
      <c r="F80" t="inlineStr">
        <is>
          <t>No external source located</t>
        </is>
      </c>
    </row>
    <row r="81">
      <c r="A81" t="inlineStr">
        <is>
          <t>Hk disneyland attendance fy2019</t>
        </is>
      </c>
      <c r="B81" t="inlineStr">
        <is>
          <t>million visitors</t>
        </is>
      </c>
      <c r="C81" t="n">
        <v>6.5</v>
      </c>
      <c r="F81" t="inlineStr">
        <is>
          <t>https://hkcorporate.hongkongdisneyland.com/pdf/AnnualBusinessReview19.pdf</t>
        </is>
      </c>
    </row>
    <row r="82">
      <c r="A82" t="inlineStr">
        <is>
          <t>Hk disneyland attendance fy2024</t>
        </is>
      </c>
      <c r="B82" t="inlineStr">
        <is>
          <t>million visitors</t>
        </is>
      </c>
      <c r="C82" t="n">
        <v>7.7</v>
      </c>
      <c r="F82" t="inlineStr">
        <is>
          <t>https://hkcorporate.hongkongdisneyland.com/pdf/AnnualBusinessReview24.pdf</t>
        </is>
      </c>
    </row>
    <row r="83">
      <c r="A83" t="inlineStr">
        <is>
          <t>Hk disneyland attendance fy2025</t>
        </is>
      </c>
      <c r="B83" t="inlineStr">
        <is>
          <t>million visitors</t>
        </is>
      </c>
      <c r="C83" t="n">
        <v>7.5</v>
      </c>
      <c r="F83" t="inlineStr">
        <is>
          <t>https://news.hongkongdisneyland.com/en/press/2026-04-28/</t>
        </is>
      </c>
    </row>
    <row r="84">
      <c r="A84" t="inlineStr">
        <is>
          <t>Hk disneyland revenue fy2025 hkd m</t>
        </is>
      </c>
      <c r="B84" t="inlineStr">
        <is>
          <t>HK$ million</t>
        </is>
      </c>
      <c r="C84" s="2" t="n">
        <v>8694</v>
      </c>
      <c r="F84" t="inlineStr">
        <is>
          <t>https://hkcorporate.hongkongdisneyland.com/pdf/AnnualBusinessReview25.pdf</t>
        </is>
      </c>
    </row>
    <row r="85">
      <c r="A85" t="inlineStr">
        <is>
          <t>Hk disneyland net profit fy2025 hkd m</t>
        </is>
      </c>
      <c r="B85" t="inlineStr">
        <is>
          <t>HK$ million</t>
        </is>
      </c>
      <c r="C85" t="n">
        <v>536</v>
      </c>
      <c r="F85" t="inlineStr">
        <is>
          <t>https://hkcorporate.hongkongdisneyland.com/pdf/AnnualBusinessReview25.pdf</t>
        </is>
      </c>
    </row>
    <row r="86">
      <c r="A86" t="inlineStr">
        <is>
          <t>Hk disneyland adult ticket tier1 hkd</t>
        </is>
      </c>
      <c r="B86" t="inlineStr">
        <is>
          <t>HK$ per adult ticket</t>
        </is>
      </c>
      <c r="C86" t="n">
        <v>669</v>
      </c>
      <c r="F86" t="inlineStr">
        <is>
          <t>https://www.hongkongdisneyland.com/offers-discounts/travel-industry-salute/</t>
        </is>
      </c>
    </row>
    <row r="87">
      <c r="A87" t="inlineStr">
        <is>
          <t>Hk disneyland adult ticket tier4 peak hkd</t>
        </is>
      </c>
      <c r="B87" t="inlineStr">
        <is>
          <t>HK$ per adult ticket</t>
        </is>
      </c>
      <c r="C87" t="n">
        <v>939</v>
      </c>
      <c r="F87" t="inlineStr">
        <is>
          <t>https://www.hongkongdisneyland.com/offers-discounts/travel-industry-salute/</t>
        </is>
      </c>
    </row>
    <row r="88">
      <c r="A88" t="inlineStr">
        <is>
          <t>Hk disneyland visitor share local fy2019</t>
        </is>
      </c>
      <c r="B88" t="inlineStr">
        <is>
          <t>percent of attendance</t>
        </is>
      </c>
      <c r="C88" t="n">
        <v>41</v>
      </c>
      <c r="F88" t="inlineStr">
        <is>
          <t>https://hkcorporate.hongkongdisneyland.com/pdf/AnnualBusinessReview19.pdf</t>
        </is>
      </c>
    </row>
    <row r="89">
      <c r="A89" t="inlineStr">
        <is>
          <t>Hk disneyland visitor share mainland fy2019</t>
        </is>
      </c>
      <c r="B89" t="inlineStr">
        <is>
          <t>percent of attendance</t>
        </is>
      </c>
      <c r="C89" t="n">
        <v>33</v>
      </c>
      <c r="F89" t="inlineStr">
        <is>
          <t>https://hkcorporate.hongkongdisneyland.com/pdf/AnnualBusinessReview19.pdf</t>
        </is>
      </c>
    </row>
    <row r="90">
      <c r="A90" t="inlineStr">
        <is>
          <t>Hk disneyland visitor share other fy2019</t>
        </is>
      </c>
      <c r="B90" t="inlineStr">
        <is>
          <t>percent of attendance</t>
        </is>
      </c>
      <c r="C90" t="n">
        <v>26</v>
      </c>
      <c r="F90" t="inlineStr">
        <is>
          <t>https://hkcorporate.hongkongdisneyland.com/pdf/AnnualBusinessReview19.pdf</t>
        </is>
      </c>
    </row>
    <row r="91">
      <c r="A91" t="inlineStr">
        <is>
          <t>Ocean park attendance fy2024 25</t>
        </is>
      </c>
      <c r="B91" t="inlineStr">
        <is>
          <t>million visitors</t>
        </is>
      </c>
      <c r="C91" t="n">
        <v>3.46</v>
      </c>
      <c r="F91" t="inlineStr">
        <is>
          <t>https://corporate.oceanpark.com.hk/en/media-partnerships/press-release/</t>
        </is>
      </c>
    </row>
    <row r="92">
      <c r="A92" t="inlineStr">
        <is>
          <t>Ocean park non local visitors fy2024 25</t>
        </is>
      </c>
      <c r="B92" t="inlineStr">
        <is>
          <t>million visitors</t>
        </is>
      </c>
      <c r="C92" t="n">
        <v>1.25</v>
      </c>
      <c r="F92" t="inlineStr">
        <is>
          <t>https://corporate.oceanpark.com.hk/en/media-partnerships/press-release/</t>
        </is>
      </c>
    </row>
    <row r="93">
      <c r="A93" t="inlineStr">
        <is>
          <t>Ocean park attendance fy2018 19</t>
        </is>
      </c>
      <c r="B93" t="inlineStr">
        <is>
          <t>million visitors</t>
        </is>
      </c>
      <c r="C93" t="n">
        <v>5.7</v>
      </c>
      <c r="F93" t="inlineStr">
        <is>
          <t>Ocean Park announces financial results for fiscal year ending 30 June 2019, attendance paragraph. https://www.oceanpark.com.hk/en/press-release/ocean-park-announces-financial-results-for-fiscal-year-ending-30-june-2019</t>
        </is>
      </c>
    </row>
    <row r="94">
      <c r="A94" t="inlineStr">
        <is>
          <t>Ocean park revenue fy2024 25 hkd m</t>
        </is>
      </c>
      <c r="B94" t="inlineStr">
        <is>
          <t>HK$ million</t>
        </is>
      </c>
      <c r="C94" s="2" t="n">
        <v>1280</v>
      </c>
      <c r="F94" t="inlineStr">
        <is>
          <t>https://www.thestandard.com.hk/news/article/314853/Ocean-Park-reports-2747mn-losses-despite-revenue-growth-driven-by-giant-pandas</t>
        </is>
      </c>
    </row>
    <row r="95">
      <c r="A95" t="inlineStr">
        <is>
          <t>Ocean park net loss fy2024 25 hkd m</t>
        </is>
      </c>
      <c r="B95" t="inlineStr">
        <is>
          <t>HK$ million</t>
        </is>
      </c>
      <c r="C95" t="n">
        <v>274.7</v>
      </c>
      <c r="F95" t="inlineStr">
        <is>
          <t>https://corporate.oceanpark.com.hk/en/media-partnerships/press-release/</t>
        </is>
      </c>
    </row>
    <row r="96">
      <c r="A96" t="inlineStr">
        <is>
          <t>Ocean park revenue fy2018 19 hkd m</t>
        </is>
      </c>
      <c r="B96" t="inlineStr">
        <is>
          <t>HK$ million</t>
        </is>
      </c>
      <c r="C96" s="2" t="n">
        <v>1734.9</v>
      </c>
      <c r="F96" t="inlineStr">
        <is>
          <t>Ocean Park announces financial results for fiscal year ending 30 June 2019, results announcement. https://www.oceanpark.com.hk/en/press-release/ocean-park-announces-financial-results-for-fiscal-year-ending-30-june-2019</t>
        </is>
      </c>
    </row>
    <row r="97">
      <c r="A97" t="inlineStr">
        <is>
          <t>Ocean park total operating expenses fy2024 25 hkd m</t>
        </is>
      </c>
      <c r="B97" t="inlineStr">
        <is>
          <t>HK$ million</t>
        </is>
      </c>
      <c r="C97" s="2" t="n">
        <v>1554.7</v>
      </c>
      <c r="F97" t="inlineStr">
        <is>
          <t>Derived from Ocean Park FY2024/25 revenue and net loss, https://corporate.oceanpark.com.hk/en/media-partnerships/press-release/</t>
        </is>
      </c>
    </row>
    <row r="98">
      <c r="A98" t="inlineStr">
        <is>
          <t>Ocean park total operating expenses fy2018 19 hkd m</t>
        </is>
      </c>
      <c r="B98" t="inlineStr">
        <is>
          <t>HK$ million</t>
        </is>
      </c>
      <c r="C98" s="2" t="n">
        <v>1543.9</v>
      </c>
      <c r="F98" t="inlineStr">
        <is>
          <t>Ocean Park Corporation, Annual Report 2018-2019, Income and Expenditure Account (printed p.79). https://media.oceanpark.com.hk/files/s3fs-public/ophk_ar18-19.pdf</t>
        </is>
      </c>
    </row>
    <row r="99">
      <c r="A99" t="inlineStr">
        <is>
          <t>Ocean park adult admission 2019 hkd</t>
        </is>
      </c>
      <c r="B99" t="inlineStr">
        <is>
          <t>HK$ per adult ticket</t>
        </is>
      </c>
      <c r="C99" t="n">
        <v>498</v>
      </c>
      <c r="F99" t="inlineStr">
        <is>
          <t>No external source located</t>
        </is>
      </c>
    </row>
    <row r="100">
      <c r="A100" t="inlineStr">
        <is>
          <t>Universal studios singapore attendance 2024 million</t>
        </is>
      </c>
      <c r="B100" t="inlineStr">
        <is>
          <t>million visitors</t>
        </is>
      </c>
      <c r="F100" t="inlineStr">
        <is>
          <t>No external source located</t>
        </is>
      </c>
    </row>
    <row r="101">
      <c r="A101" t="inlineStr">
        <is>
          <t>Lotte world adult ticket 2026 krw</t>
        </is>
      </c>
      <c r="B101" t="inlineStr">
        <is>
          <t>KRW per adult ticket (full-day pass)</t>
        </is>
      </c>
      <c r="C101" s="2" t="n">
        <v>67000</v>
      </c>
      <c r="F101" t="inlineStr">
        <is>
          <t>SBS Biz, Lotte World to raise adult ticket price, article dated 17 March 2026, lead paragraph. https://biz.sbs.co.kr/amp/article/20000297877</t>
        </is>
      </c>
    </row>
    <row r="102">
      <c r="A102" t="inlineStr">
        <is>
          <t>Lotte world visitors 2023 million</t>
        </is>
      </c>
      <c r="B102" t="inlineStr">
        <is>
          <t>million persons</t>
        </is>
      </c>
      <c r="C102" t="n">
        <v>5.193</v>
      </c>
      <c r="F102" t="inlineStr">
        <is>
          <t>https://know.tour.go.kr/ptourknow/tourgoInfoView19Re.do?seq=103270</t>
        </is>
      </c>
    </row>
    <row r="103">
      <c r="A103" t="inlineStr">
        <is>
          <t>Lotte world visitors 2024 million</t>
        </is>
      </c>
      <c r="B103" t="inlineStr">
        <is>
          <t>million persons</t>
        </is>
      </c>
      <c r="C103" t="n">
        <v>5.257</v>
      </c>
      <c r="F103" t="inlineStr">
        <is>
          <t>https://know.tour.go.kr/stat/visitStatDis/rankingStat.do</t>
        </is>
      </c>
    </row>
    <row r="104">
      <c r="A104" t="inlineStr">
        <is>
          <t>Shanghai disneyland attendance 2024 million</t>
        </is>
      </c>
      <c r="B104" t="inlineStr">
        <is>
          <t>million visitors</t>
        </is>
      </c>
      <c r="C104" t="n">
        <v>14.7</v>
      </c>
      <c r="F104" t="inlineStr">
        <is>
          <t>Shanghai Municipal Government news, Shanghai Disneyland secures global top 5 position with record attendance, 27 October 2025, body paragraph on attendance. https://english.shanghai.gov.cn/en-Latest-WhatsNew/20251027/63097f5dd6ff4d2dad7e736573ead8d6.html</t>
        </is>
      </c>
    </row>
    <row r="105">
      <c r="A105" t="inlineStr">
        <is>
          <t>Shanghai disneyland attendance 2019 million</t>
        </is>
      </c>
      <c r="B105" t="inlineStr">
        <is>
          <t>million visitors</t>
        </is>
      </c>
      <c r="C105" t="n">
        <v>11.21</v>
      </c>
      <c r="F105" t="inlineStr">
        <is>
          <t>TEA and AECOM Theme Index 2019, Top 25 table, rank 10, https://blooloop.com/files/75972/tea-report-2019.pdf</t>
        </is>
      </c>
    </row>
    <row r="106">
      <c r="A106" t="inlineStr">
        <is>
          <t>Thailand 10y government bond yield 2026 10 14</t>
        </is>
      </c>
      <c r="B106" t="inlineStr">
        <is>
          <t>rate per year</t>
        </is>
      </c>
      <c r="C106" t="n">
        <v>0.0232</v>
      </c>
      <c r="F106" t="inlineStr">
        <is>
          <t>No external source located</t>
        </is>
      </c>
    </row>
    <row r="107">
      <c r="A107" t="inlineStr">
        <is>
          <t>Corporate income tax rate standard</t>
        </is>
      </c>
      <c r="B107" t="inlineStr">
        <is>
          <t>rate of net profit</t>
        </is>
      </c>
      <c r="C107" t="n">
        <v>0.2</v>
      </c>
      <c r="F107" t="inlineStr">
        <is>
          <t>Revenue Department, corporate income tax, https://www.rd.go.th/english/6044.html</t>
        </is>
      </c>
    </row>
    <row r="108">
      <c r="A108" t="inlineStr">
        <is>
          <t>Vat statutory rate</t>
        </is>
      </c>
      <c r="B108" t="inlineStr">
        <is>
          <t>rate</t>
        </is>
      </c>
      <c r="C108" t="n">
        <v>0.1</v>
      </c>
      <c r="F108" t="inlineStr">
        <is>
          <t>https://www.rd.go.th/english/37732.html</t>
        </is>
      </c>
    </row>
    <row r="109">
      <c r="A109" t="inlineStr">
        <is>
          <t>Vat reduced rate 2026 2027</t>
        </is>
      </c>
      <c r="B109" t="inlineStr">
        <is>
          <t>rate, including local tax</t>
        </is>
      </c>
      <c r="C109" t="n">
        <v>0.07000000000000001</v>
      </c>
      <c r="F109" t="inlineStr">
        <is>
          <t>KPMG TaxNewsFlash, same article, first paragraph on Royal Decree No. 807. Temporary reduced rate for 1 October 2026 to 30 September 2027. It must be checked again after 30 September 2027.</t>
        </is>
      </c>
    </row>
    <row r="110">
      <c r="A110" t="inlineStr">
        <is>
          <t>Adb economic horizon years low</t>
        </is>
      </c>
      <c r="B110" t="inlineStr">
        <is>
          <t>years</t>
        </is>
      </c>
      <c r="C110" t="n">
        <v>20</v>
      </c>
      <c r="F110" t="inlineStr">
        <is>
          <t>ADB (2017) Guidelines for the Economic Analysis of Projects, printed pages 47 to 48, paragraph 176. https://www.adb.org/sites/default/files/institutional-document/32256/economic-analysis-projects.pdf</t>
        </is>
      </c>
    </row>
    <row r="111">
      <c r="A111" t="inlineStr">
        <is>
          <t>Adb economic horizon years high</t>
        </is>
      </c>
      <c r="B111" t="inlineStr">
        <is>
          <t>years</t>
        </is>
      </c>
      <c r="C111" t="n">
        <v>30</v>
      </c>
      <c r="F111" t="inlineStr">
        <is>
          <t>ADB (2017) Guidelines for the Economic Analysis of Projects, printed pages 47 to 48, paragraph 176. https://www.adb.org/sites/default/files/institutional-document/32256/economic-analysis-projects.pdf</t>
        </is>
      </c>
    </row>
    <row r="112">
      <c r="A112" t="inlineStr">
        <is>
          <t>Adb dam railway operating years low</t>
        </is>
      </c>
      <c r="B112" t="inlineStr">
        <is>
          <t>years</t>
        </is>
      </c>
      <c r="C112" t="n">
        <v>20</v>
      </c>
      <c r="F112" t="inlineStr">
        <is>
          <t>ADB (2017), printed page 64, Appendix 3, paragraph 2. https://www.adb.org/sites/default/files/institutional-document/32256/economic-analysis-projects.pdf</t>
        </is>
      </c>
    </row>
    <row r="113">
      <c r="A113" t="inlineStr">
        <is>
          <t>Adb dam railway operating years high</t>
        </is>
      </c>
      <c r="B113" t="inlineStr">
        <is>
          <t>years</t>
        </is>
      </c>
      <c r="C113" t="n">
        <v>25</v>
      </c>
      <c r="F113" t="inlineStr">
        <is>
          <t>ADB (2017), printed page 64, Appendix 3, paragraph 2. https://www.adb.org/sites/default/files/institutional-document/32256/economic-analysis-projects.pdf</t>
        </is>
      </c>
    </row>
    <row r="114">
      <c r="A114" t="inlineStr">
        <is>
          <t>Adb irrigation scheme life years</t>
        </is>
      </c>
      <c r="B114" t="inlineStr">
        <is>
          <t>years</t>
        </is>
      </c>
      <c r="C114" t="n">
        <v>25</v>
      </c>
      <c r="F114" t="inlineStr">
        <is>
          <t>ADB (2017), printed page 126, Appendix 16. https://www.adb.org/sites/default/files/institutional-document/32256/economic-analysis-projects.pdf</t>
        </is>
      </c>
    </row>
    <row r="115">
      <c r="A115" t="inlineStr">
        <is>
          <t>Adb processing plant operating years</t>
        </is>
      </c>
      <c r="B115" t="inlineStr">
        <is>
          <t>years</t>
        </is>
      </c>
      <c r="C115" t="n">
        <v>20</v>
      </c>
      <c r="F115" t="inlineStr">
        <is>
          <t>ADB (2017), printed page 65, Appendix 3, paragraph 6. https://www.adb.org/sites/default/files/institutional-document/32256/economic-analysis-projects.pdf</t>
        </is>
      </c>
    </row>
    <row r="116">
      <c r="A116" t="inlineStr">
        <is>
          <t>Adb illustrative implementation years</t>
        </is>
      </c>
      <c r="B116" t="inlineStr">
        <is>
          <t>years</t>
        </is>
      </c>
      <c r="C116" t="n">
        <v>2</v>
      </c>
      <c r="F116" t="inlineStr">
        <is>
          <t>ADB (2017), printed page 65, Appendix 3, paragraph 6. https://www.adb.org/sites/default/files/institutional-document/32256/economic-analysis-projects.pdf</t>
        </is>
      </c>
    </row>
    <row r="117">
      <c r="A117" t="inlineStr">
        <is>
          <t>Adb replacement period construction years</t>
        </is>
      </c>
      <c r="B117" t="inlineStr">
        <is>
          <t>years</t>
        </is>
      </c>
      <c r="C117" t="n">
        <v>30</v>
      </c>
      <c r="F117" t="inlineStr">
        <is>
          <t>ADB (2017), printed page 67, Table A3, construction line of the illustrative project statement. https://www.adb.org/sites/default/files/institutional-document/32256/economic-analysis-projects.pdf</t>
        </is>
      </c>
    </row>
    <row r="118">
      <c r="A118" t="inlineStr">
        <is>
          <t>Adb replacement period equipment years</t>
        </is>
      </c>
      <c r="B118" t="inlineStr">
        <is>
          <t>years</t>
        </is>
      </c>
      <c r="C118" t="n">
        <v>12</v>
      </c>
      <c r="F118" t="inlineStr">
        <is>
          <t>ADB (2017), printed page 67, Table A3, equipment line of the illustrative project statement. https://www.adb.org/sites/default/files/institutional-document/32256/economic-analysis-projects.pdf</t>
        </is>
      </c>
    </row>
    <row r="119">
      <c r="A119" t="inlineStr">
        <is>
          <t>Adb replacement period vehicles years</t>
        </is>
      </c>
      <c r="B119" t="inlineStr">
        <is>
          <t>years</t>
        </is>
      </c>
      <c r="C119" t="n">
        <v>5</v>
      </c>
      <c r="F119" t="inlineStr">
        <is>
          <t>ADB (2017), printed page 67, Table A3, vehicles line of the illustrative project statement. https://www.adb.org/sites/default/files/institutional-document/32256/economic-analysis-projects.pdf</t>
        </is>
      </c>
    </row>
    <row r="120">
      <c r="A120" t="inlineStr">
        <is>
          <t>Adb working life sensitivity years</t>
        </is>
      </c>
      <c r="B120" t="inlineStr">
        <is>
          <t>years</t>
        </is>
      </c>
      <c r="C120" t="n">
        <v>5</v>
      </c>
      <c r="F120" t="inlineStr">
        <is>
          <t>ADB (2017), printed pages 142 and 143, Appendix 19. https://www.adb.org/sites/default/files/institutional-document/32256/economic-analysis-projects.pdf</t>
        </is>
      </c>
    </row>
    <row r="121">
      <c r="A121" t="inlineStr">
        <is>
          <t>Adb gas deposit resource life years</t>
        </is>
      </c>
      <c r="B121" t="inlineStr">
        <is>
          <t>years</t>
        </is>
      </c>
      <c r="C121" t="n">
        <v>15</v>
      </c>
      <c r="F121" t="inlineStr">
        <is>
          <t>ADB (2017), printed page 98, Table A10. https://www.adb.org/sites/default/files/institutional-document/32256/economic-analysis-projects.pdf</t>
        </is>
      </c>
    </row>
    <row r="122">
      <c r="A122" t="inlineStr">
        <is>
          <t>Adb shadow exchange rate factor illustrative</t>
        </is>
      </c>
      <c r="B122" t="inlineStr">
        <is>
          <t>ratio</t>
        </is>
      </c>
      <c r="C122" t="n">
        <v>1.33</v>
      </c>
      <c r="F122" t="inlineStr">
        <is>
          <t>ADB (2017), printed pages 126 and 128, Table A16.2, irrigation case. https://www.adb.org/sites/default/files/institutional-document/32256/economic-analysis-projects.pdf</t>
        </is>
      </c>
    </row>
    <row r="123">
      <c r="A123" t="inlineStr">
        <is>
          <t>Adb shadow wage rate factor illustrative</t>
        </is>
      </c>
      <c r="B123" t="inlineStr">
        <is>
          <t>ratio</t>
        </is>
      </c>
      <c r="C123" t="n">
        <v>0.8</v>
      </c>
      <c r="F123" t="inlineStr">
        <is>
          <t>ADB (2017), printed page 90, Table A8. https://www.adb.org/sites/default/files/institutional-document/32256/economic-analysis-projects.pdf</t>
        </is>
      </c>
    </row>
    <row r="124">
      <c r="A124" t="inlineStr">
        <is>
          <t>Nesdc social discount rate range low</t>
        </is>
      </c>
      <c r="B124" t="inlineStr">
        <is>
          <t>rate</t>
        </is>
      </c>
      <c r="C124" t="n">
        <v>0.0655</v>
      </c>
      <c r="F124" t="inlineStr">
        <is>
          <t>NESDC (2024) Guide to Public Investment Project Appraisal, section 6.2.1, PDF page 26. https://www.nesdc.go.th/wp-content/uploads/2025/05/article_20241009124821.pdf</t>
        </is>
      </c>
    </row>
    <row r="125">
      <c r="A125" t="inlineStr">
        <is>
          <t>Nesdc social discount rate range high</t>
        </is>
      </c>
      <c r="B125" t="inlineStr">
        <is>
          <t>rate</t>
        </is>
      </c>
      <c r="C125" t="n">
        <v>0.0759</v>
      </c>
      <c r="F125" t="inlineStr">
        <is>
          <t>NESDC (2024) Guide to Public Investment Project Appraisal, section 6.2.1, PDF page 26. https://www.nesdc.go.th/wp-content/uploads/2025/05/article_20241009124821.pdf</t>
        </is>
      </c>
    </row>
    <row r="126">
      <c r="A126" t="inlineStr">
        <is>
          <t>Nesdc permanent asset threshold years</t>
        </is>
      </c>
      <c r="B126" t="inlineStr">
        <is>
          <t>years</t>
        </is>
      </c>
      <c r="C126" t="n">
        <v>1</v>
      </c>
      <c r="F126" t="inlineStr">
        <is>
          <t>NESDC (2024) Guide to Public Investment Project Appraisal, definition of a permanent asset, PDF pages 58 and 64. https://www.nesdc.go.th/wp-content/uploads/2025/05/article_20241009124821.pdf</t>
        </is>
      </c>
    </row>
    <row r="127">
      <c r="A127" t="inlineStr">
        <is>
          <t>Tourism asset life years</t>
        </is>
      </c>
      <c r="B127" t="inlineStr">
        <is>
          <t>years</t>
        </is>
      </c>
      <c r="C127" t="n">
        <v>20</v>
      </c>
      <c r="F127" t="inlineStr">
        <is>
          <t>NESDC Assumption</t>
        </is>
      </c>
    </row>
    <row r="128">
      <c r="A128" t="inlineStr">
        <is>
          <t>Asset useful life by type nesdc years</t>
        </is>
      </c>
      <c r="B128" t="inlineStr">
        <is>
          <t>years</t>
        </is>
      </c>
      <c r="C128" t="n">
        <v>20</v>
      </c>
      <c r="F128" t="inlineStr">
        <is>
          <t>https://www.rd.go.th/english/6044.html</t>
        </is>
      </c>
    </row>
    <row r="129">
      <c r="A129" t="inlineStr">
        <is>
          <t>Intl arrivals 2021</t>
        </is>
      </c>
      <c r="B129" t="inlineStr">
        <is>
          <t>persons</t>
        </is>
      </c>
      <c r="C129" s="2" t="n">
        <v>428000</v>
      </c>
      <c r="F129" t="inlineStr">
        <is>
          <t>https://www.nso.go.th/public/e-book/Indicators-Economic/Thai_Economic_Indicators_2025/158</t>
        </is>
      </c>
    </row>
    <row r="130">
      <c r="A130" t="inlineStr">
        <is>
          <t>Intl arrivals 2022</t>
        </is>
      </c>
      <c r="B130" t="inlineStr">
        <is>
          <t>persons</t>
        </is>
      </c>
      <c r="C130" s="2" t="n">
        <v>11153000</v>
      </c>
      <c r="F130" t="inlineStr">
        <is>
          <t>https://www.nso.go.th/public/e-book/Indicators-Economic/Thai_Economic_Indicators_2025/158</t>
        </is>
      </c>
    </row>
    <row r="131">
      <c r="A131" t="inlineStr">
        <is>
          <t>Intl arrivals 2023</t>
        </is>
      </c>
      <c r="B131" t="inlineStr">
        <is>
          <t>persons</t>
        </is>
      </c>
      <c r="C131" s="2" t="n">
        <v>28150000</v>
      </c>
      <c r="F131" t="inlineStr">
        <is>
          <t>https://www.nso.go.th/public/e-book/Indicators-Economic/Thai_Economic_Indicators_2025/158</t>
        </is>
      </c>
    </row>
    <row r="132">
      <c r="A132" t="inlineStr">
        <is>
          <t>Intl avg length of stay 2017 days</t>
        </is>
      </c>
      <c r="B132" t="inlineStr">
        <is>
          <t>days</t>
        </is>
      </c>
      <c r="C132" t="n">
        <v>9.5</v>
      </c>
      <c r="F132" t="inlineStr">
        <is>
          <t>https://www.nso.go.th/public/e-book/Indicators-Economic/Indicators-Economic-2562/files/assets/basic-html/page134.html</t>
        </is>
      </c>
    </row>
    <row r="133">
      <c r="A133" t="inlineStr">
        <is>
          <t>Hk disneyland costs and expenses fy2025 hkd m</t>
        </is>
      </c>
      <c r="B133" t="inlineStr">
        <is>
          <t>HK$ million</t>
        </is>
      </c>
      <c r="C133" s="2" t="n">
        <v>6705</v>
      </c>
      <c r="F133" t="inlineStr">
        <is>
          <t>Hong Kong Disneyland Annual Business Review FY2025, https://hkcorporate.hongkongdisneyland.com/pdf/AnnualBusinessReview25.pdf</t>
        </is>
      </c>
    </row>
    <row r="134">
      <c r="A134" t="inlineStr">
        <is>
          <t>Hk disneyland depreciation fy2025 hkd m</t>
        </is>
      </c>
      <c r="B134" t="inlineStr">
        <is>
          <t>HK$ million</t>
        </is>
      </c>
      <c r="C134" s="2" t="n">
        <v>1455</v>
      </c>
      <c r="F134" t="inlineStr">
        <is>
          <t>Hong Kong Disneyland Annual Business Review FY2025, https://hkcorporate.hongkongdisneyland.com/pdf/AnnualBusinessReview25.pdf</t>
        </is>
      </c>
    </row>
    <row r="135">
      <c r="A135" t="inlineStr">
        <is>
          <t>Hk disneyland noncurrent assets fy2025 hkd m</t>
        </is>
      </c>
      <c r="B135" t="inlineStr">
        <is>
          <t>HK$ million</t>
        </is>
      </c>
      <c r="C135" s="2" t="n">
        <v>18396</v>
      </c>
      <c r="F135" t="inlineStr">
        <is>
          <t>Hong Kong Disneyland Annual Business Review FY2025, https://hkcorporate.hongkongdisneyland.com/pdf/AnnualBusinessReview25.pdf</t>
        </is>
      </c>
    </row>
    <row r="136">
      <c r="A136" t="inlineStr">
        <is>
          <t>Hk disneyland hotel rooms fy2025</t>
        </is>
      </c>
      <c r="B136" t="inlineStr">
        <is>
          <t>rooms</t>
        </is>
      </c>
      <c r="C136" s="2" t="n">
        <v>1750</v>
      </c>
      <c r="F136" t="inlineStr">
        <is>
          <t>Hong Kong Disneyland Annual Business Review FY2025, operational highlights, paragraph 9</t>
        </is>
      </c>
    </row>
    <row r="137">
      <c r="A137" t="inlineStr">
        <is>
          <t>Hk disneyland hotel occupancy fy2025</t>
        </is>
      </c>
      <c r="B137" t="inlineStr">
        <is>
          <t>share</t>
        </is>
      </c>
      <c r="C137" t="n">
        <v>0.79</v>
      </c>
      <c r="F137" t="inlineStr">
        <is>
          <t>Hong Kong Disneyland Annual Business Review FY2025, key revenue drivers table</t>
        </is>
      </c>
    </row>
    <row r="138">
      <c r="A138" t="inlineStr">
        <is>
          <t>Bot hkd thb mid rate 19oct2026</t>
        </is>
      </c>
      <c r="B138" t="inlineStr">
        <is>
          <t>THB per HKD</t>
        </is>
      </c>
      <c r="C138" t="n">
        <v>4.2694</v>
      </c>
      <c r="F138" t="inlineStr">
        <is>
          <t>Bank of Thailand, commercial bank exchange rates (FM_FX_001_S3), Hong Kong dollar mid rate. https://app.bot.or.th/BTWS_STAT/statistics/BOTWEBSTAT.aspx?reportID=123&amp;language=ENG</t>
        </is>
      </c>
    </row>
    <row r="139">
      <c r="A139" t="inlineStr">
        <is>
          <t>Cbre pattaya adr h2 2025 thb</t>
        </is>
      </c>
      <c r="B139" t="inlineStr">
        <is>
          <t>THB per room night</t>
        </is>
      </c>
      <c r="C139" s="2" t="n">
        <v>3449</v>
      </c>
      <c r="F139" t="inlineStr">
        <is>
          <t>CBRE, Pattaya Overall Figures H2 2025. https://mktgdocs.cbre.com/2299/175bc843-73b5-4940-a859-14bd0f57a6a1-1295998069/Pattaya-Overall-Figures-H2-202.pdf</t>
        </is>
      </c>
    </row>
    <row r="140">
      <c r="A140" t="inlineStr">
        <is>
          <t>Cbre pattaya occupancy h2 2025</t>
        </is>
      </c>
      <c r="B140" t="inlineStr">
        <is>
          <t>share</t>
        </is>
      </c>
      <c r="C140" t="n">
        <v>0.655</v>
      </c>
      <c r="F140" t="inlineStr">
        <is>
          <t>CBRE, Pattaya Overall Figures H2 2025. https://mktgdocs.cbre.com/2299/175bc843-73b5-4940-a859-14bd0f57a6a1-1295998069/Pattaya-Overall-Figures-H2-202.pdf</t>
        </is>
      </c>
    </row>
    <row r="141">
      <c r="A141" t="inlineStr">
        <is>
          <t>Project life years</t>
        </is>
      </c>
      <c r="B141" t="inlineStr">
        <is>
          <t>years</t>
        </is>
      </c>
      <c r="C141" t="n">
        <v>20</v>
      </c>
      <c r="D141" t="n">
        <v>20</v>
      </c>
      <c r="E141" t="n">
        <v>25</v>
      </c>
      <c r="F141" t="inlineStr">
        <is>
          <t>NESDC Requirement</t>
        </is>
      </c>
    </row>
    <row r="142">
      <c r="A142" t="inlineStr">
        <is>
          <t>Construction years</t>
        </is>
      </c>
      <c r="B142" t="inlineStr">
        <is>
          <t>years</t>
        </is>
      </c>
      <c r="C142" t="n">
        <v>2</v>
      </c>
      <c r="D142" t="n">
        <v>3</v>
      </c>
      <c r="E142" t="n">
        <v>2</v>
      </c>
      <c r="F142" t="inlineStr">
        <is>
          <t>ADB (2017) Guidelines, Appendix 3 illustrative implementation period, https://www.adb.org/sites/default/files/institutional-document/32256/economic-analysis-projects.pdf</t>
        </is>
      </c>
    </row>
    <row r="143">
      <c r="A143" t="inlineStr">
        <is>
          <t>Wacc financial</t>
        </is>
      </c>
      <c r="B143" t="inlineStr">
        <is>
          <t>rate</t>
        </is>
      </c>
      <c r="C143" t="n">
        <v>0.08</v>
      </c>
      <c r="D143" t="n">
        <v>0.1</v>
      </c>
      <c r="E143" t="n">
        <v>0.07000000000000001</v>
      </c>
      <c r="F143" t="inlineStr">
        <is>
          <t>NESDC Requirement</t>
        </is>
      </c>
    </row>
    <row r="144">
      <c r="A144" t="inlineStr">
        <is>
          <t>Attendance million per year</t>
        </is>
      </c>
      <c r="B144" t="inlineStr">
        <is>
          <t>million visits per year</t>
        </is>
      </c>
      <c r="C144" t="n">
        <v>7.5</v>
      </c>
      <c r="D144" t="n">
        <v>3.46</v>
      </c>
      <c r="E144" t="n">
        <v>14.7</v>
      </c>
      <c r="F144" t="inlineStr">
        <is>
          <t>NESDC Assumption</t>
        </is>
      </c>
    </row>
    <row r="145">
      <c r="A145" t="inlineStr">
        <is>
          <t>International share</t>
        </is>
      </c>
      <c r="B145" t="inlineStr">
        <is>
          <t>share of attendance</t>
        </is>
      </c>
      <c r="C145" t="n">
        <v>0.59</v>
      </c>
      <c r="D145" t="n">
        <v>0.36</v>
      </c>
      <c r="E145" t="n">
        <v>0.75</v>
      </c>
      <c r="F145" t="inlineStr">
        <is>
          <t>Hong Kong Disneyland Annual Business Review FY2019, origin of visitors, https://hkcorporate.hongkongdisneyland.com/pdf/AnnualBusinessReview19.pdf</t>
        </is>
      </c>
    </row>
    <row r="146">
      <c r="A146" t="inlineStr">
        <is>
          <t>Incremental share</t>
        </is>
      </c>
      <c r="B146" t="inlineStr">
        <is>
          <t>share</t>
        </is>
      </c>
      <c r="C146" t="n">
        <v>0.3</v>
      </c>
      <c r="D146" t="n">
        <v>0.1</v>
      </c>
      <c r="E146" t="n">
        <v>0.5</v>
      </c>
      <c r="F146" t="inlineStr">
        <is>
          <t>NESDC Assumption</t>
        </is>
      </c>
    </row>
    <row r="147">
      <c r="A147" t="inlineStr">
        <is>
          <t>Displacement share</t>
        </is>
      </c>
      <c r="B147" t="inlineStr">
        <is>
          <t>share</t>
        </is>
      </c>
      <c r="C147" t="n">
        <v>0.3</v>
      </c>
      <c r="D147" t="n">
        <v>0.5</v>
      </c>
      <c r="E147" t="n">
        <v>0.1</v>
      </c>
      <c r="F147" t="inlineStr">
        <is>
          <t>NESDC Assumption</t>
        </is>
      </c>
    </row>
    <row r="148">
      <c r="A148" t="inlineStr">
        <is>
          <t>Spend per visit thb</t>
        </is>
      </c>
      <c r="B148" t="inlineStr">
        <is>
          <t>THB per incremental visit</t>
        </is>
      </c>
      <c r="C148" s="2" t="n">
        <v>10000</v>
      </c>
      <c r="D148" s="2" t="n">
        <v>1862</v>
      </c>
      <c r="E148" s="2" t="n">
        <v>20000</v>
      </c>
      <c r="F148" t="inlineStr">
        <is>
          <t>NESDC Assumption (base and high); Oriental Land Co., Tokyo Disney Resort FY3/2026, on-site spending per guest (low)</t>
        </is>
      </c>
    </row>
    <row r="149">
      <c r="A149" t="inlineStr">
        <is>
          <t>Domestic retention share</t>
        </is>
      </c>
      <c r="B149" t="inlineStr">
        <is>
          <t>share</t>
        </is>
      </c>
      <c r="C149" t="n">
        <v>0.5</v>
      </c>
      <c r="D149" t="n">
        <v>0.3</v>
      </c>
      <c r="E149" t="n">
        <v>0.7</v>
      </c>
      <c r="F149" t="inlineStr">
        <is>
          <t>NESDC Assumption</t>
        </is>
      </c>
    </row>
    <row r="150">
      <c r="A150" t="inlineStr">
        <is>
          <t>Tax share of spend</t>
        </is>
      </c>
      <c r="B150" t="inlineStr">
        <is>
          <t>share of net spending</t>
        </is>
      </c>
      <c r="C150" t="n">
        <v>0.06542100000000001</v>
      </c>
      <c r="D150" t="n">
        <v>0</v>
      </c>
      <c r="E150" t="n">
        <v>0.090909</v>
      </c>
      <c r="F150" t="inlineStr">
        <is>
          <t>NESDC Assumption; VAT rate, Revenue Department, https://www.rd.go.th/english/37732.html</t>
        </is>
      </c>
    </row>
    <row r="151">
      <c r="A151" t="inlineStr">
        <is>
          <t>Opex share</t>
        </is>
      </c>
      <c r="B151" t="inlineStr">
        <is>
          <t>ratio of revenue</t>
        </is>
      </c>
      <c r="C151" t="n">
        <v>0.9383</v>
      </c>
      <c r="D151" t="n">
        <v>1.2146</v>
      </c>
      <c r="E151" t="n">
        <v>0.7</v>
      </c>
      <c r="F151" t="inlineStr">
        <is>
          <t>Hong Kong Disneyland Annual Business Review FY2025, https://hkcorporate.hongkongdisneyland.com/pdf/AnnualBusinessReview25.pdf</t>
        </is>
      </c>
    </row>
    <row r="152">
      <c r="A152" t="inlineStr">
        <is>
          <t>Ticket revenue per visit thb</t>
        </is>
      </c>
      <c r="B152" t="inlineStr">
        <is>
          <t>THB per visit</t>
        </is>
      </c>
      <c r="C152" s="2" t="n">
        <v>2877</v>
      </c>
      <c r="D152" s="2" t="n">
        <v>2158</v>
      </c>
      <c r="E152" s="2" t="n">
        <v>4038</v>
      </c>
      <c r="F152" t="inlineStr">
        <is>
          <t>Hong Kong Disneyland adult ticket tier 1, https://www.hongkongdisneyland.com/offers-discounts/travel-industry-salute/</t>
        </is>
      </c>
    </row>
    <row r="153">
      <c r="A153" t="inlineStr">
        <is>
          <t>Nights per stay</t>
        </is>
      </c>
      <c r="B153" t="inlineStr">
        <is>
          <t>nights</t>
        </is>
      </c>
      <c r="C153" t="n">
        <v>10.66</v>
      </c>
      <c r="D153" t="n">
        <v>12</v>
      </c>
      <c r="E153" t="n">
        <v>5</v>
      </c>
      <c r="F153" t="inlineStr">
        <is>
          <t>NESDC Assumption</t>
        </is>
      </c>
    </row>
    <row r="154">
      <c r="A154" t="inlineStr">
        <is>
          <t>Guests per room</t>
        </is>
      </c>
      <c r="B154" t="inlineStr">
        <is>
          <t>guests per occupied room</t>
        </is>
      </c>
      <c r="C154" t="n">
        <v>2</v>
      </c>
      <c r="D154" t="n">
        <v>1.5</v>
      </c>
      <c r="E154" t="n">
        <v>2.5</v>
      </c>
      <c r="F154" t="inlineStr">
        <is>
          <t>NESDC Assumption</t>
        </is>
      </c>
    </row>
    <row r="155">
      <c r="A155" t="inlineStr">
        <is>
          <t>Movements per visit</t>
        </is>
      </c>
      <c r="B155" t="inlineStr">
        <is>
          <t>passenger movements per visit</t>
        </is>
      </c>
      <c r="C155" t="n">
        <v>2</v>
      </c>
      <c r="D155" t="n">
        <v>2</v>
      </c>
      <c r="E155" t="n">
        <v>1</v>
      </c>
      <c r="F155" t="inlineStr">
        <is>
          <t>NESDC Assumption</t>
        </is>
      </c>
    </row>
    <row r="156">
      <c r="A156" t="inlineStr">
        <is>
          <t>Current airport use passengers per year</t>
        </is>
      </c>
      <c r="B156" t="inlineStr">
        <is>
          <t>passengers per year</t>
        </is>
      </c>
      <c r="C156" s="2" t="n">
        <v>370210</v>
      </c>
      <c r="D156" s="2" t="n">
        <v>1000000</v>
      </c>
      <c r="E156" s="2" t="n">
        <v>100000</v>
      </c>
      <c r="F156" t="inlineStr">
        <is>
          <t>U-Tapao air traffic statistics, budget year 2024, https://www.uta.co.th/airport-airportcity/airport-terminal</t>
        </is>
      </c>
    </row>
    <row r="157">
      <c r="A157" t="inlineStr">
        <is>
          <t>Planned airport addition passengers per year</t>
        </is>
      </c>
      <c r="B157" t="inlineStr">
        <is>
          <t>passengers per year</t>
        </is>
      </c>
      <c r="C157" t="n">
        <v>0</v>
      </c>
      <c r="D157" t="n">
        <v>0</v>
      </c>
      <c r="E157" s="2" t="n">
        <v>3700000</v>
      </c>
      <c r="F157" t="inlineStr">
        <is>
          <t>NESDC Assumption</t>
        </is>
      </c>
    </row>
    <row r="158">
      <c r="A158" t="inlineStr">
        <is>
          <t>Public cost after construction thb bn per year</t>
        </is>
      </c>
      <c r="B158" t="inlineStr">
        <is>
          <t>THB bn per year</t>
        </is>
      </c>
      <c r="C158" t="n">
        <v>0.5</v>
      </c>
      <c r="D158" t="n">
        <v>1</v>
      </c>
      <c r="E158" t="n">
        <v>0</v>
      </c>
      <c r="F158" t="inlineStr">
        <is>
          <t>NESDC Assumption</t>
        </is>
      </c>
    </row>
    <row r="159">
      <c r="A159" t="inlineStr">
        <is>
          <t>Rooms serving site</t>
        </is>
      </c>
      <c r="B159" t="inlineStr">
        <is>
          <t>rooms</t>
        </is>
      </c>
      <c r="C159" s="2" t="n">
        <v>31581</v>
      </c>
      <c r="D159" s="2" t="n">
        <v>31581</v>
      </c>
      <c r="E159" s="2" t="n">
        <v>31581</v>
      </c>
      <c r="F159" t="inlineStr">
        <is>
          <t>CBRE, Pattaya Overall Figures H2 2024, https://www.cbre.com/insights/figures/pattaya-overall-figures-h2-2024</t>
        </is>
      </c>
    </row>
    <row r="160">
      <c r="A160" t="inlineStr">
        <is>
          <t>Occupancy serving site</t>
        </is>
      </c>
      <c r="B160" t="inlineStr">
        <is>
          <t>share</t>
        </is>
      </c>
      <c r="C160" t="n">
        <v>0.8042</v>
      </c>
      <c r="D160" t="n">
        <v>0.8042</v>
      </c>
      <c r="E160" t="n">
        <v>0.8042</v>
      </c>
      <c r="F160" t="inlineStr">
        <is>
          <t>National Statistical Office, Table 17.1, https://www.nso.go.th/nsoweb/downloadFile/stat_main_nso/FgpN/file_th</t>
        </is>
      </c>
    </row>
    <row r="161">
      <c r="A161" t="inlineStr">
        <is>
          <t>Occupancy ceiling serving site</t>
        </is>
      </c>
      <c r="B161" t="inlineStr">
        <is>
          <t>share</t>
        </is>
      </c>
      <c r="C161" t="n">
        <v>0.85</v>
      </c>
      <c r="D161" t="n">
        <v>0.8042</v>
      </c>
      <c r="E161" t="n">
        <v>0.9</v>
      </c>
      <c r="F161" t="inlineStr">
        <is>
          <t>NESDC Assumption</t>
        </is>
      </c>
    </row>
    <row r="162"/>
    <row r="163">
      <c r="A163" s="1" t="inlineStr">
        <is>
          <t>Park-only operator inputs</t>
        </is>
      </c>
    </row>
    <row r="164">
      <c r="A164" t="inlineStr">
        <is>
          <t>Park-only capital cost</t>
        </is>
      </c>
      <c r="B164" t="inlineStr">
        <is>
          <t>THB bn</t>
        </is>
      </c>
      <c r="C164">
        <f>C3</f>
        <v/>
      </c>
      <c r="F164" t="inlineStr">
        <is>
          <t>Nation Thailand, 12 February 2026, https://www.nationthailand.com/blogs/business/investment/40062428</t>
        </is>
      </c>
    </row>
    <row r="165">
      <c r="A165" t="inlineStr">
        <is>
          <t>Replacement capex, share of capital per operating year</t>
        </is>
      </c>
      <c r="B165" t="inlineStr">
        <is>
          <t>share</t>
        </is>
      </c>
      <c r="C165" t="n">
        <v>0</v>
      </c>
      <c r="F165" t="inlineStr">
        <is>
          <t>NESDC Assumption</t>
        </is>
      </c>
    </row>
    <row r="166">
      <c r="A166" t="inlineStr">
        <is>
          <t>Hong Kong depreciation share of noncurrent assets</t>
        </is>
      </c>
      <c r="B166" t="inlineStr">
        <is>
          <t>share per year</t>
        </is>
      </c>
      <c r="C166">
        <f>C134/C135</f>
        <v/>
      </c>
      <c r="F166" t="inlineStr">
        <is>
          <t>Hong Kong Disneyland Annual Business Review FY2025, https://hkcorporate.hongkongdisneyland.com/pdf/AnnualBusinessReview25.pdf</t>
        </is>
      </c>
    </row>
    <row r="167">
      <c r="A167" t="inlineStr">
        <is>
          <t>Corporate income tax rate</t>
        </is>
      </c>
      <c r="B167" t="inlineStr">
        <is>
          <t>ratio</t>
        </is>
      </c>
      <c r="C167">
        <f>C107</f>
        <v/>
      </c>
      <c r="F167" t="inlineStr">
        <is>
          <t>Revenue Department, corporate income tax, https://www.rd.go.th/english/6044.html</t>
        </is>
      </c>
    </row>
    <row r="168">
      <c r="A168" t="inlineStr">
        <is>
          <t>Tax depreciation years</t>
        </is>
      </c>
      <c r="B168" t="inlineStr">
        <is>
          <t>years</t>
        </is>
      </c>
      <c r="C168">
        <f>C127</f>
        <v/>
      </c>
      <c r="F168" t="inlineStr">
        <is>
          <t>NESDC Assumption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18" customWidth="1" min="8" max="8"/>
    <col width="14" customWidth="1" min="9" max="9"/>
    <col width="16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2" customWidth="1" min="16" max="16"/>
    <col width="16" customWidth="1" min="17" max="17"/>
    <col width="16" customWidth="1" min="18" max="18"/>
    <col width="18" customWidth="1" min="19" max="19"/>
  </cols>
  <sheetData>
    <row r="1">
      <c r="A1" s="3" t="inlineStr">
        <is>
          <t>Park-only operator financial appraisal (THB billion unless stated)</t>
        </is>
      </c>
    </row>
    <row r="4">
      <c r="A4" t="inlineStr">
        <is>
          <t>Parameter</t>
        </is>
      </c>
      <c r="B4" t="inlineStr">
        <is>
          <t>Park-only</t>
        </is>
      </c>
      <c r="C4" t="inlineStr">
        <is>
          <t>Complex, 300 bn</t>
        </is>
      </c>
    </row>
    <row r="5">
      <c r="A5" t="inlineStr">
        <is>
          <t>Cash operating cost, share of revenue</t>
        </is>
      </c>
      <c r="B5" s="4">
        <f>Inputs!$C$133/Inputs!$C$84</f>
        <v/>
      </c>
      <c r="C5" s="4">
        <f>B5</f>
        <v/>
      </c>
    </row>
    <row r="6">
      <c r="A6" t="inlineStr">
        <is>
          <t>WACC</t>
        </is>
      </c>
      <c r="B6">
        <f>Inputs!$C$143</f>
        <v/>
      </c>
      <c r="C6">
        <f>B6</f>
        <v/>
      </c>
    </row>
    <row r="7">
      <c r="A7" t="inlineStr">
        <is>
          <t>Operating life (years)</t>
        </is>
      </c>
      <c r="B7">
        <f>Inputs!$C$141</f>
        <v/>
      </c>
      <c r="C7">
        <f>B7</f>
        <v/>
      </c>
    </row>
    <row r="8">
      <c r="A8" t="inlineStr">
        <is>
          <t>Construction years</t>
        </is>
      </c>
      <c r="B8">
        <f>Inputs!$C$142</f>
        <v/>
      </c>
      <c r="C8">
        <f>B8</f>
        <v/>
      </c>
    </row>
    <row r="9">
      <c r="A9" t="inlineStr">
        <is>
          <t>Capital cost (THB bn)</t>
        </is>
      </c>
      <c r="B9">
        <f>Inputs!$C$164</f>
        <v/>
      </c>
      <c r="C9">
        <f>Inputs!$C$2</f>
        <v/>
      </c>
    </row>
    <row r="10">
      <c r="A10" t="inlineStr">
        <is>
          <t>Attendance (million visits a year)</t>
        </is>
      </c>
      <c r="B10">
        <f>Inputs!$C$144</f>
        <v/>
      </c>
      <c r="C10">
        <f>B10</f>
        <v/>
      </c>
    </row>
    <row r="11">
      <c r="A11" t="inlineStr">
        <is>
          <t>International share of attendance</t>
        </is>
      </c>
      <c r="B11">
        <f>Inputs!$C$145</f>
        <v/>
      </c>
      <c r="C11">
        <f>B11</f>
        <v/>
      </c>
    </row>
    <row r="12">
      <c r="A12" t="inlineStr">
        <is>
          <t>Physical visit cap (million visits a year)</t>
        </is>
      </c>
      <c r="B12">
        <f>MIN(Inputs!$C$26/Inputs!$C$155,Inputs!$C$159*365*Inputs!$C$154/Inputs!$C$153)/1000000</f>
        <v/>
      </c>
      <c r="C12">
        <f>B12</f>
        <v/>
      </c>
    </row>
    <row r="13">
      <c r="A13" t="inlineStr">
        <is>
          <t>Ticket revenue per visit (THB)</t>
        </is>
      </c>
      <c r="B13">
        <f>Inputs!$C$152</f>
        <v/>
      </c>
      <c r="C13">
        <f>B13</f>
        <v/>
      </c>
    </row>
    <row r="14">
      <c r="A14" t="inlineStr">
        <is>
          <t>Operator visits per operating year (million)</t>
        </is>
      </c>
      <c r="B14">
        <f>B10-MAX(B10*B11-B12,0)</f>
        <v/>
      </c>
      <c r="C14">
        <f>B14</f>
        <v/>
      </c>
    </row>
    <row r="15">
      <c r="A15" t="inlineStr">
        <is>
          <t>Operator revenue per operating year (THB bn)</t>
        </is>
      </c>
      <c r="B15">
        <f>B14*(B13+B19*Inputs!$D$148)/1000</f>
        <v/>
      </c>
      <c r="C15">
        <f>B14*(C13+C19*Inputs!$D$148)/1000</f>
        <v/>
      </c>
    </row>
    <row r="16">
      <c r="A16" t="inlineStr">
        <is>
          <t>Replacement capex, share of capital per operating year</t>
        </is>
      </c>
      <c r="B16">
        <f>Inputs!$C$165</f>
        <v/>
      </c>
      <c r="C16">
        <f>B16</f>
        <v/>
      </c>
    </row>
    <row r="17">
      <c r="A17" t="inlineStr">
        <is>
          <t>Corporate income tax rate</t>
        </is>
      </c>
      <c r="B17">
        <f>Inputs!$C$167</f>
        <v/>
      </c>
      <c r="C17">
        <f>B17</f>
        <v/>
      </c>
    </row>
    <row r="18">
      <c r="A18" t="inlineStr">
        <is>
          <t>Tax depreciation years</t>
        </is>
      </c>
      <c r="B18">
        <f>Inputs!$C$168</f>
        <v/>
      </c>
      <c r="C18">
        <f>B18</f>
        <v/>
      </c>
    </row>
    <row r="19">
      <c r="A19" t="inlineStr">
        <is>
          <t>On-site income included (1 = yes)</t>
        </is>
      </c>
      <c r="B19" t="n">
        <v>1</v>
      </c>
      <c r="C19" t="n">
        <v>0</v>
      </c>
    </row>
    <row r="20">
      <c r="A20" t="inlineStr">
        <is>
          <t>Results</t>
        </is>
      </c>
      <c r="B20" t="inlineStr">
        <is>
          <t>Park-only</t>
        </is>
      </c>
      <c r="C20" t="inlineStr">
        <is>
          <t>Complex, 300 bn</t>
        </is>
      </c>
    </row>
    <row r="21">
      <c r="A21" t="inlineStr">
        <is>
          <t>Operator NPV before tax at WACC (THB bn)</t>
        </is>
      </c>
      <c r="B21" s="5">
        <f>SUM(K41:K63)</f>
        <v/>
      </c>
      <c r="C21" s="5">
        <f>(C15*(1-C5)-C16*C9)*B27-(C9/B9)*B28</f>
        <v/>
      </c>
    </row>
    <row r="22">
      <c r="A22" t="inlineStr">
        <is>
          <t>Operator NPV after tax (THB bn)</t>
        </is>
      </c>
      <c r="B22" s="5">
        <f>IF($B$18&lt;$B$7,"n/a",SUM(R41:R63))</f>
        <v/>
      </c>
      <c r="C22" s="5">
        <f>IF(C18&lt;C7,"n/a",C21)</f>
        <v/>
      </c>
    </row>
    <row r="23">
      <c r="A23" t="inlineStr">
        <is>
          <t>Operator IRR after tax</t>
        </is>
      </c>
      <c r="B23" s="6">
        <f>IF($B$18&lt;$B$7,"n/a",IRR(Q41:Q63,-0.1))</f>
        <v/>
      </c>
      <c r="C23" t="inlineStr">
        <is>
          <t>n/a</t>
        </is>
      </c>
    </row>
    <row r="24">
      <c r="A24" t="inlineStr">
        <is>
          <t>Break-even capital cost (THB bn)</t>
        </is>
      </c>
      <c r="B24" s="5">
        <f>B15*(1-B5)*B27/(B16*B27+B28/B9)</f>
        <v/>
      </c>
      <c r="C24" s="5">
        <f>B24</f>
        <v/>
      </c>
    </row>
    <row r="25">
      <c r="A25" t="inlineStr">
        <is>
          <t>Break-even attendance (million visits a year)</t>
        </is>
      </c>
      <c r="B25" s="5">
        <f>B10-B21/((1-B5)*(B13+B19*Inputs!$D$148)/1000*(1-B11)*B27)</f>
        <v/>
      </c>
      <c r="C25" s="5">
        <f>B10-C21/((1-C5)*C13/1000*(1-C11)*B27)</f>
        <v/>
      </c>
    </row>
    <row r="27">
      <c r="A27" t="inlineStr">
        <is>
          <t>Annuity factor over operating years</t>
        </is>
      </c>
      <c r="B27">
        <f>SUMPRODUCT(B41:B63,D41:D63)</f>
        <v/>
      </c>
    </row>
    <row r="28">
      <c r="A28" t="inlineStr">
        <is>
          <t>Present value of capital cost (THB bn)</t>
        </is>
      </c>
      <c r="B28" s="5">
        <f>SUMPRODUCT(E41:E63,B41:B63)</f>
        <v/>
      </c>
    </row>
    <row r="32">
      <c r="A32" t="inlineStr">
        <is>
          <t>Tax depreciation covers the operating life</t>
        </is>
      </c>
      <c r="B32">
        <f>IF(B18&lt;B7,"No","Yes")</f>
        <v/>
      </c>
      <c r="C32">
        <f>IF(C18&lt;C7,"No","Yes")</f>
        <v/>
      </c>
    </row>
    <row r="39">
      <c r="A39" s="1" t="inlineStr">
        <is>
          <t>Annual ledger, park-only</t>
        </is>
      </c>
    </row>
    <row r="40">
      <c r="A40" s="7" t="inlineStr">
        <is>
          <t>Year</t>
        </is>
      </c>
      <c r="B40" s="7" t="inlineStr">
        <is>
          <t>Discount factor</t>
        </is>
      </c>
      <c r="C40" s="7" t="inlineStr">
        <is>
          <t>Construction</t>
        </is>
      </c>
      <c r="D40" s="7" t="inlineStr">
        <is>
          <t>Operating</t>
        </is>
      </c>
      <c r="E40" s="7" t="inlineStr">
        <is>
          <t>Capital cost</t>
        </is>
      </c>
      <c r="F40" s="7" t="inlineStr">
        <is>
          <t>Operator visits (million)</t>
        </is>
      </c>
      <c r="G40" s="7" t="inlineStr">
        <is>
          <t>Revenue</t>
        </is>
      </c>
      <c r="H40" s="7" t="inlineStr">
        <is>
          <t>Cash operating cost</t>
        </is>
      </c>
      <c r="I40" s="7" t="inlineStr">
        <is>
          <t>Replacement capex</t>
        </is>
      </c>
      <c r="J40" s="7" t="inlineStr">
        <is>
          <t>Cash flow before tax</t>
        </is>
      </c>
      <c r="K40" s="7" t="inlineStr">
        <is>
          <t>Present value before tax</t>
        </is>
      </c>
      <c r="L40" s="7" t="inlineStr">
        <is>
          <t>Tax depreciation</t>
        </is>
      </c>
      <c r="M40" s="7" t="inlineStr">
        <is>
          <t>Taxable income</t>
        </is>
      </c>
      <c r="N40" s="7" t="inlineStr">
        <is>
          <t>Cumulative taxable income</t>
        </is>
      </c>
      <c r="O40" s="7" t="inlineStr">
        <is>
          <t>Cumulative tax due</t>
        </is>
      </c>
      <c r="P40" s="7" t="inlineStr">
        <is>
          <t>Tax paid</t>
        </is>
      </c>
      <c r="Q40" s="7" t="inlineStr">
        <is>
          <t>Cash flow after tax</t>
        </is>
      </c>
      <c r="R40" s="7" t="inlineStr">
        <is>
          <t>Present value after tax</t>
        </is>
      </c>
      <c r="S40" s="7" t="inlineStr">
        <is>
          <t>Cumulative cash flow after tax</t>
        </is>
      </c>
    </row>
    <row r="41">
      <c r="A41" t="n">
        <v>0</v>
      </c>
      <c r="B41" s="4">
        <f>1/(1+$B$6)^A41</f>
        <v/>
      </c>
      <c r="C41">
        <f>IF(A41&lt;$B$8,1,0)</f>
        <v/>
      </c>
      <c r="D41">
        <f>IF(AND(A41&gt;=$B$8,A41&lt;$B$8+$B$7),1,0)</f>
        <v/>
      </c>
      <c r="E41" s="5">
        <f>C41*$B$9/$B$8</f>
        <v/>
      </c>
      <c r="F41" s="8">
        <f>D41*$B$14</f>
        <v/>
      </c>
      <c r="G41" s="5">
        <f>F41*($B$13+$B$19*Inputs!$D$148)/1000</f>
        <v/>
      </c>
      <c r="H41" s="5">
        <f>$B$5*G41</f>
        <v/>
      </c>
      <c r="I41" s="5">
        <f>D41*$B$16*$B$9</f>
        <v/>
      </c>
      <c r="J41" s="5">
        <f>G41-H41-E41-I41</f>
        <v/>
      </c>
      <c r="K41" s="5">
        <f>J41*B41</f>
        <v/>
      </c>
      <c r="L41" s="5">
        <f>IF(AND(A41&gt;=$B$8,A41&lt;$B$8+$B$18),$B$9/$B$18,0)</f>
        <v/>
      </c>
      <c r="M41" s="5">
        <f>G41-H41-L41</f>
        <v/>
      </c>
      <c r="N41" s="5">
        <f>SUM($M$41:M41)</f>
        <v/>
      </c>
      <c r="O41" s="5">
        <f>$B$17*MAX(0,N41)</f>
        <v/>
      </c>
      <c r="P41" s="5">
        <f>MAX(0,O41)</f>
        <v/>
      </c>
      <c r="Q41" s="5">
        <f>J41-P41</f>
        <v/>
      </c>
      <c r="R41" s="5">
        <f>Q41*B41</f>
        <v/>
      </c>
      <c r="S41" s="5">
        <f>SUM($Q$41:Q41)</f>
        <v/>
      </c>
    </row>
    <row r="42">
      <c r="A42" t="n">
        <v>1</v>
      </c>
      <c r="B42" s="4">
        <f>1/(1+$B$6)^A42</f>
        <v/>
      </c>
      <c r="C42">
        <f>IF(A42&lt;$B$8,1,0)</f>
        <v/>
      </c>
      <c r="D42">
        <f>IF(AND(A42&gt;=$B$8,A42&lt;$B$8+$B$7),1,0)</f>
        <v/>
      </c>
      <c r="E42" s="5">
        <f>C42*$B$9/$B$8</f>
        <v/>
      </c>
      <c r="F42" s="8">
        <f>D42*$B$14</f>
        <v/>
      </c>
      <c r="G42" s="5">
        <f>F42*($B$13+$B$19*Inputs!$D$148)/1000</f>
        <v/>
      </c>
      <c r="H42" s="5">
        <f>$B$5*G42</f>
        <v/>
      </c>
      <c r="I42" s="5">
        <f>D42*$B$16*$B$9</f>
        <v/>
      </c>
      <c r="J42" s="5">
        <f>G42-H42-E42-I42</f>
        <v/>
      </c>
      <c r="K42" s="5">
        <f>J42*B42</f>
        <v/>
      </c>
      <c r="L42" s="5">
        <f>IF(AND(A42&gt;=$B$8,A42&lt;$B$8+$B$18),$B$9/$B$18,0)</f>
        <v/>
      </c>
      <c r="M42" s="5">
        <f>G42-H42-L42</f>
        <v/>
      </c>
      <c r="N42" s="5">
        <f>SUM($M$41:M42)</f>
        <v/>
      </c>
      <c r="O42" s="5">
        <f>$B$17*MAX(0,N42)</f>
        <v/>
      </c>
      <c r="P42" s="5">
        <f>MAX(0,O42-O41)</f>
        <v/>
      </c>
      <c r="Q42" s="5">
        <f>J42-P42</f>
        <v/>
      </c>
      <c r="R42" s="5">
        <f>Q42*B42</f>
        <v/>
      </c>
      <c r="S42" s="5">
        <f>SUM($Q$41:Q42)</f>
        <v/>
      </c>
    </row>
    <row r="43">
      <c r="A43" t="n">
        <v>2</v>
      </c>
      <c r="B43" s="4">
        <f>1/(1+$B$6)^A43</f>
        <v/>
      </c>
      <c r="C43">
        <f>IF(A43&lt;$B$8,1,0)</f>
        <v/>
      </c>
      <c r="D43">
        <f>IF(AND(A43&gt;=$B$8,A43&lt;$B$8+$B$7),1,0)</f>
        <v/>
      </c>
      <c r="E43" s="5">
        <f>C43*$B$9/$B$8</f>
        <v/>
      </c>
      <c r="F43" s="8">
        <f>D43*$B$14</f>
        <v/>
      </c>
      <c r="G43" s="5">
        <f>F43*($B$13+$B$19*Inputs!$D$148)/1000</f>
        <v/>
      </c>
      <c r="H43" s="5">
        <f>$B$5*G43</f>
        <v/>
      </c>
      <c r="I43" s="5">
        <f>D43*$B$16*$B$9</f>
        <v/>
      </c>
      <c r="J43" s="5">
        <f>G43-H43-E43-I43</f>
        <v/>
      </c>
      <c r="K43" s="5">
        <f>J43*B43</f>
        <v/>
      </c>
      <c r="L43" s="5">
        <f>IF(AND(A43&gt;=$B$8,A43&lt;$B$8+$B$18),$B$9/$B$18,0)</f>
        <v/>
      </c>
      <c r="M43" s="5">
        <f>G43-H43-L43</f>
        <v/>
      </c>
      <c r="N43" s="5">
        <f>SUM($M$41:M43)</f>
        <v/>
      </c>
      <c r="O43" s="5">
        <f>$B$17*MAX(0,N43)</f>
        <v/>
      </c>
      <c r="P43" s="5">
        <f>MAX(0,O43-O42)</f>
        <v/>
      </c>
      <c r="Q43" s="5">
        <f>J43-P43</f>
        <v/>
      </c>
      <c r="R43" s="5">
        <f>Q43*B43</f>
        <v/>
      </c>
      <c r="S43" s="5">
        <f>SUM($Q$41:Q43)</f>
        <v/>
      </c>
    </row>
    <row r="44">
      <c r="A44" t="n">
        <v>3</v>
      </c>
      <c r="B44" s="4">
        <f>1/(1+$B$6)^A44</f>
        <v/>
      </c>
      <c r="C44">
        <f>IF(A44&lt;$B$8,1,0)</f>
        <v/>
      </c>
      <c r="D44">
        <f>IF(AND(A44&gt;=$B$8,A44&lt;$B$8+$B$7),1,0)</f>
        <v/>
      </c>
      <c r="E44" s="5">
        <f>C44*$B$9/$B$8</f>
        <v/>
      </c>
      <c r="F44" s="8">
        <f>D44*$B$14</f>
        <v/>
      </c>
      <c r="G44" s="5">
        <f>F44*($B$13+$B$19*Inputs!$D$148)/1000</f>
        <v/>
      </c>
      <c r="H44" s="5">
        <f>$B$5*G44</f>
        <v/>
      </c>
      <c r="I44" s="5">
        <f>D44*$B$16*$B$9</f>
        <v/>
      </c>
      <c r="J44" s="5">
        <f>G44-H44-E44-I44</f>
        <v/>
      </c>
      <c r="K44" s="5">
        <f>J44*B44</f>
        <v/>
      </c>
      <c r="L44" s="5">
        <f>IF(AND(A44&gt;=$B$8,A44&lt;$B$8+$B$18),$B$9/$B$18,0)</f>
        <v/>
      </c>
      <c r="M44" s="5">
        <f>G44-H44-L44</f>
        <v/>
      </c>
      <c r="N44" s="5">
        <f>SUM($M$41:M44)</f>
        <v/>
      </c>
      <c r="O44" s="5">
        <f>$B$17*MAX(0,N44)</f>
        <v/>
      </c>
      <c r="P44" s="5">
        <f>MAX(0,O44-O43)</f>
        <v/>
      </c>
      <c r="Q44" s="5">
        <f>J44-P44</f>
        <v/>
      </c>
      <c r="R44" s="5">
        <f>Q44*B44</f>
        <v/>
      </c>
      <c r="S44" s="5">
        <f>SUM($Q$41:Q44)</f>
        <v/>
      </c>
    </row>
    <row r="45">
      <c r="A45" t="n">
        <v>4</v>
      </c>
      <c r="B45" s="4">
        <f>1/(1+$B$6)^A45</f>
        <v/>
      </c>
      <c r="C45">
        <f>IF(A45&lt;$B$8,1,0)</f>
        <v/>
      </c>
      <c r="D45">
        <f>IF(AND(A45&gt;=$B$8,A45&lt;$B$8+$B$7),1,0)</f>
        <v/>
      </c>
      <c r="E45" s="5">
        <f>C45*$B$9/$B$8</f>
        <v/>
      </c>
      <c r="F45" s="8">
        <f>D45*$B$14</f>
        <v/>
      </c>
      <c r="G45" s="5">
        <f>F45*($B$13+$B$19*Inputs!$D$148)/1000</f>
        <v/>
      </c>
      <c r="H45" s="5">
        <f>$B$5*G45</f>
        <v/>
      </c>
      <c r="I45" s="5">
        <f>D45*$B$16*$B$9</f>
        <v/>
      </c>
      <c r="J45" s="5">
        <f>G45-H45-E45-I45</f>
        <v/>
      </c>
      <c r="K45" s="5">
        <f>J45*B45</f>
        <v/>
      </c>
      <c r="L45" s="5">
        <f>IF(AND(A45&gt;=$B$8,A45&lt;$B$8+$B$18),$B$9/$B$18,0)</f>
        <v/>
      </c>
      <c r="M45" s="5">
        <f>G45-H45-L45</f>
        <v/>
      </c>
      <c r="N45" s="5">
        <f>SUM($M$41:M45)</f>
        <v/>
      </c>
      <c r="O45" s="5">
        <f>$B$17*MAX(0,N45)</f>
        <v/>
      </c>
      <c r="P45" s="5">
        <f>MAX(0,O45-O44)</f>
        <v/>
      </c>
      <c r="Q45" s="5">
        <f>J45-P45</f>
        <v/>
      </c>
      <c r="R45" s="5">
        <f>Q45*B45</f>
        <v/>
      </c>
      <c r="S45" s="5">
        <f>SUM($Q$41:Q45)</f>
        <v/>
      </c>
    </row>
    <row r="46">
      <c r="A46" t="n">
        <v>5</v>
      </c>
      <c r="B46" s="4">
        <f>1/(1+$B$6)^A46</f>
        <v/>
      </c>
      <c r="C46">
        <f>IF(A46&lt;$B$8,1,0)</f>
        <v/>
      </c>
      <c r="D46">
        <f>IF(AND(A46&gt;=$B$8,A46&lt;$B$8+$B$7),1,0)</f>
        <v/>
      </c>
      <c r="E46" s="5">
        <f>C46*$B$9/$B$8</f>
        <v/>
      </c>
      <c r="F46" s="8">
        <f>D46*$B$14</f>
        <v/>
      </c>
      <c r="G46" s="5">
        <f>F46*($B$13+$B$19*Inputs!$D$148)/1000</f>
        <v/>
      </c>
      <c r="H46" s="5">
        <f>$B$5*G46</f>
        <v/>
      </c>
      <c r="I46" s="5">
        <f>D46*$B$16*$B$9</f>
        <v/>
      </c>
      <c r="J46" s="5">
        <f>G46-H46-E46-I46</f>
        <v/>
      </c>
      <c r="K46" s="5">
        <f>J46*B46</f>
        <v/>
      </c>
      <c r="L46" s="5">
        <f>IF(AND(A46&gt;=$B$8,A46&lt;$B$8+$B$18),$B$9/$B$18,0)</f>
        <v/>
      </c>
      <c r="M46" s="5">
        <f>G46-H46-L46</f>
        <v/>
      </c>
      <c r="N46" s="5">
        <f>SUM($M$41:M46)</f>
        <v/>
      </c>
      <c r="O46" s="5">
        <f>$B$17*MAX(0,N46)</f>
        <v/>
      </c>
      <c r="P46" s="5">
        <f>MAX(0,O46-O45)</f>
        <v/>
      </c>
      <c r="Q46" s="5">
        <f>J46-P46</f>
        <v/>
      </c>
      <c r="R46" s="5">
        <f>Q46*B46</f>
        <v/>
      </c>
      <c r="S46" s="5">
        <f>SUM($Q$41:Q46)</f>
        <v/>
      </c>
    </row>
    <row r="47">
      <c r="A47" t="n">
        <v>6</v>
      </c>
      <c r="B47" s="4">
        <f>1/(1+$B$6)^A47</f>
        <v/>
      </c>
      <c r="C47">
        <f>IF(A47&lt;$B$8,1,0)</f>
        <v/>
      </c>
      <c r="D47">
        <f>IF(AND(A47&gt;=$B$8,A47&lt;$B$8+$B$7),1,0)</f>
        <v/>
      </c>
      <c r="E47" s="5">
        <f>C47*$B$9/$B$8</f>
        <v/>
      </c>
      <c r="F47" s="8">
        <f>D47*$B$14</f>
        <v/>
      </c>
      <c r="G47" s="5">
        <f>F47*($B$13+$B$19*Inputs!$D$148)/1000</f>
        <v/>
      </c>
      <c r="H47" s="5">
        <f>$B$5*G47</f>
        <v/>
      </c>
      <c r="I47" s="5">
        <f>D47*$B$16*$B$9</f>
        <v/>
      </c>
      <c r="J47" s="5">
        <f>G47-H47-E47-I47</f>
        <v/>
      </c>
      <c r="K47" s="5">
        <f>J47*B47</f>
        <v/>
      </c>
      <c r="L47" s="5">
        <f>IF(AND(A47&gt;=$B$8,A47&lt;$B$8+$B$18),$B$9/$B$18,0)</f>
        <v/>
      </c>
      <c r="M47" s="5">
        <f>G47-H47-L47</f>
        <v/>
      </c>
      <c r="N47" s="5">
        <f>SUM($M$41:M47)</f>
        <v/>
      </c>
      <c r="O47" s="5">
        <f>$B$17*MAX(0,N47)</f>
        <v/>
      </c>
      <c r="P47" s="5">
        <f>MAX(0,O47-O46)</f>
        <v/>
      </c>
      <c r="Q47" s="5">
        <f>J47-P47</f>
        <v/>
      </c>
      <c r="R47" s="5">
        <f>Q47*B47</f>
        <v/>
      </c>
      <c r="S47" s="5">
        <f>SUM($Q$41:Q47)</f>
        <v/>
      </c>
    </row>
    <row r="48">
      <c r="A48" t="n">
        <v>7</v>
      </c>
      <c r="B48" s="4">
        <f>1/(1+$B$6)^A48</f>
        <v/>
      </c>
      <c r="C48">
        <f>IF(A48&lt;$B$8,1,0)</f>
        <v/>
      </c>
      <c r="D48">
        <f>IF(AND(A48&gt;=$B$8,A48&lt;$B$8+$B$7),1,0)</f>
        <v/>
      </c>
      <c r="E48" s="5">
        <f>C48*$B$9/$B$8</f>
        <v/>
      </c>
      <c r="F48" s="8">
        <f>D48*$B$14</f>
        <v/>
      </c>
      <c r="G48" s="5">
        <f>F48*($B$13+$B$19*Inputs!$D$148)/1000</f>
        <v/>
      </c>
      <c r="H48" s="5">
        <f>$B$5*G48</f>
        <v/>
      </c>
      <c r="I48" s="5">
        <f>D48*$B$16*$B$9</f>
        <v/>
      </c>
      <c r="J48" s="5">
        <f>G48-H48-E48-I48</f>
        <v/>
      </c>
      <c r="K48" s="5">
        <f>J48*B48</f>
        <v/>
      </c>
      <c r="L48" s="5">
        <f>IF(AND(A48&gt;=$B$8,A48&lt;$B$8+$B$18),$B$9/$B$18,0)</f>
        <v/>
      </c>
      <c r="M48" s="5">
        <f>G48-H48-L48</f>
        <v/>
      </c>
      <c r="N48" s="5">
        <f>SUM($M$41:M48)</f>
        <v/>
      </c>
      <c r="O48" s="5">
        <f>$B$17*MAX(0,N48)</f>
        <v/>
      </c>
      <c r="P48" s="5">
        <f>MAX(0,O48-O47)</f>
        <v/>
      </c>
      <c r="Q48" s="5">
        <f>J48-P48</f>
        <v/>
      </c>
      <c r="R48" s="5">
        <f>Q48*B48</f>
        <v/>
      </c>
      <c r="S48" s="5">
        <f>SUM($Q$41:Q48)</f>
        <v/>
      </c>
    </row>
    <row r="49">
      <c r="A49" t="n">
        <v>8</v>
      </c>
      <c r="B49" s="4">
        <f>1/(1+$B$6)^A49</f>
        <v/>
      </c>
      <c r="C49">
        <f>IF(A49&lt;$B$8,1,0)</f>
        <v/>
      </c>
      <c r="D49">
        <f>IF(AND(A49&gt;=$B$8,A49&lt;$B$8+$B$7),1,0)</f>
        <v/>
      </c>
      <c r="E49" s="5">
        <f>C49*$B$9/$B$8</f>
        <v/>
      </c>
      <c r="F49" s="8">
        <f>D49*$B$14</f>
        <v/>
      </c>
      <c r="G49" s="5">
        <f>F49*($B$13+$B$19*Inputs!$D$148)/1000</f>
        <v/>
      </c>
      <c r="H49" s="5">
        <f>$B$5*G49</f>
        <v/>
      </c>
      <c r="I49" s="5">
        <f>D49*$B$16*$B$9</f>
        <v/>
      </c>
      <c r="J49" s="5">
        <f>G49-H49-E49-I49</f>
        <v/>
      </c>
      <c r="K49" s="5">
        <f>J49*B49</f>
        <v/>
      </c>
      <c r="L49" s="5">
        <f>IF(AND(A49&gt;=$B$8,A49&lt;$B$8+$B$18),$B$9/$B$18,0)</f>
        <v/>
      </c>
      <c r="M49" s="5">
        <f>G49-H49-L49</f>
        <v/>
      </c>
      <c r="N49" s="5">
        <f>SUM($M$41:M49)</f>
        <v/>
      </c>
      <c r="O49" s="5">
        <f>$B$17*MAX(0,N49)</f>
        <v/>
      </c>
      <c r="P49" s="5">
        <f>MAX(0,O49-O48)</f>
        <v/>
      </c>
      <c r="Q49" s="5">
        <f>J49-P49</f>
        <v/>
      </c>
      <c r="R49" s="5">
        <f>Q49*B49</f>
        <v/>
      </c>
      <c r="S49" s="5">
        <f>SUM($Q$41:Q49)</f>
        <v/>
      </c>
    </row>
    <row r="50">
      <c r="A50" t="n">
        <v>9</v>
      </c>
      <c r="B50" s="4">
        <f>1/(1+$B$6)^A50</f>
        <v/>
      </c>
      <c r="C50">
        <f>IF(A50&lt;$B$8,1,0)</f>
        <v/>
      </c>
      <c r="D50">
        <f>IF(AND(A50&gt;=$B$8,A50&lt;$B$8+$B$7),1,0)</f>
        <v/>
      </c>
      <c r="E50" s="5">
        <f>C50*$B$9/$B$8</f>
        <v/>
      </c>
      <c r="F50" s="8">
        <f>D50*$B$14</f>
        <v/>
      </c>
      <c r="G50" s="5">
        <f>F50*($B$13+$B$19*Inputs!$D$148)/1000</f>
        <v/>
      </c>
      <c r="H50" s="5">
        <f>$B$5*G50</f>
        <v/>
      </c>
      <c r="I50" s="5">
        <f>D50*$B$16*$B$9</f>
        <v/>
      </c>
      <c r="J50" s="5">
        <f>G50-H50-E50-I50</f>
        <v/>
      </c>
      <c r="K50" s="5">
        <f>J50*B50</f>
        <v/>
      </c>
      <c r="L50" s="5">
        <f>IF(AND(A50&gt;=$B$8,A50&lt;$B$8+$B$18),$B$9/$B$18,0)</f>
        <v/>
      </c>
      <c r="M50" s="5">
        <f>G50-H50-L50</f>
        <v/>
      </c>
      <c r="N50" s="5">
        <f>SUM($M$41:M50)</f>
        <v/>
      </c>
      <c r="O50" s="5">
        <f>$B$17*MAX(0,N50)</f>
        <v/>
      </c>
      <c r="P50" s="5">
        <f>MAX(0,O50-O49)</f>
        <v/>
      </c>
      <c r="Q50" s="5">
        <f>J50-P50</f>
        <v/>
      </c>
      <c r="R50" s="5">
        <f>Q50*B50</f>
        <v/>
      </c>
      <c r="S50" s="5">
        <f>SUM($Q$41:Q50)</f>
        <v/>
      </c>
    </row>
    <row r="51">
      <c r="A51" t="n">
        <v>10</v>
      </c>
      <c r="B51" s="4">
        <f>1/(1+$B$6)^A51</f>
        <v/>
      </c>
      <c r="C51">
        <f>IF(A51&lt;$B$8,1,0)</f>
        <v/>
      </c>
      <c r="D51">
        <f>IF(AND(A51&gt;=$B$8,A51&lt;$B$8+$B$7),1,0)</f>
        <v/>
      </c>
      <c r="E51" s="5">
        <f>C51*$B$9/$B$8</f>
        <v/>
      </c>
      <c r="F51" s="8">
        <f>D51*$B$14</f>
        <v/>
      </c>
      <c r="G51" s="5">
        <f>F51*($B$13+$B$19*Inputs!$D$148)/1000</f>
        <v/>
      </c>
      <c r="H51" s="5">
        <f>$B$5*G51</f>
        <v/>
      </c>
      <c r="I51" s="5">
        <f>D51*$B$16*$B$9</f>
        <v/>
      </c>
      <c r="J51" s="5">
        <f>G51-H51-E51-I51</f>
        <v/>
      </c>
      <c r="K51" s="5">
        <f>J51*B51</f>
        <v/>
      </c>
      <c r="L51" s="5">
        <f>IF(AND(A51&gt;=$B$8,A51&lt;$B$8+$B$18),$B$9/$B$18,0)</f>
        <v/>
      </c>
      <c r="M51" s="5">
        <f>G51-H51-L51</f>
        <v/>
      </c>
      <c r="N51" s="5">
        <f>SUM($M$41:M51)</f>
        <v/>
      </c>
      <c r="O51" s="5">
        <f>$B$17*MAX(0,N51)</f>
        <v/>
      </c>
      <c r="P51" s="5">
        <f>MAX(0,O51-O50)</f>
        <v/>
      </c>
      <c r="Q51" s="5">
        <f>J51-P51</f>
        <v/>
      </c>
      <c r="R51" s="5">
        <f>Q51*B51</f>
        <v/>
      </c>
      <c r="S51" s="5">
        <f>SUM($Q$41:Q51)</f>
        <v/>
      </c>
    </row>
    <row r="52">
      <c r="A52" t="n">
        <v>11</v>
      </c>
      <c r="B52" s="4">
        <f>1/(1+$B$6)^A52</f>
        <v/>
      </c>
      <c r="C52">
        <f>IF(A52&lt;$B$8,1,0)</f>
        <v/>
      </c>
      <c r="D52">
        <f>IF(AND(A52&gt;=$B$8,A52&lt;$B$8+$B$7),1,0)</f>
        <v/>
      </c>
      <c r="E52" s="5">
        <f>C52*$B$9/$B$8</f>
        <v/>
      </c>
      <c r="F52" s="8">
        <f>D52*$B$14</f>
        <v/>
      </c>
      <c r="G52" s="5">
        <f>F52*($B$13+$B$19*Inputs!$D$148)/1000</f>
        <v/>
      </c>
      <c r="H52" s="5">
        <f>$B$5*G52</f>
        <v/>
      </c>
      <c r="I52" s="5">
        <f>D52*$B$16*$B$9</f>
        <v/>
      </c>
      <c r="J52" s="5">
        <f>G52-H52-E52-I52</f>
        <v/>
      </c>
      <c r="K52" s="5">
        <f>J52*B52</f>
        <v/>
      </c>
      <c r="L52" s="5">
        <f>IF(AND(A52&gt;=$B$8,A52&lt;$B$8+$B$18),$B$9/$B$18,0)</f>
        <v/>
      </c>
      <c r="M52" s="5">
        <f>G52-H52-L52</f>
        <v/>
      </c>
      <c r="N52" s="5">
        <f>SUM($M$41:M52)</f>
        <v/>
      </c>
      <c r="O52" s="5">
        <f>$B$17*MAX(0,N52)</f>
        <v/>
      </c>
      <c r="P52" s="5">
        <f>MAX(0,O52-O51)</f>
        <v/>
      </c>
      <c r="Q52" s="5">
        <f>J52-P52</f>
        <v/>
      </c>
      <c r="R52" s="5">
        <f>Q52*B52</f>
        <v/>
      </c>
      <c r="S52" s="5">
        <f>SUM($Q$41:Q52)</f>
        <v/>
      </c>
    </row>
    <row r="53">
      <c r="A53" t="n">
        <v>12</v>
      </c>
      <c r="B53" s="4">
        <f>1/(1+$B$6)^A53</f>
        <v/>
      </c>
      <c r="C53">
        <f>IF(A53&lt;$B$8,1,0)</f>
        <v/>
      </c>
      <c r="D53">
        <f>IF(AND(A53&gt;=$B$8,A53&lt;$B$8+$B$7),1,0)</f>
        <v/>
      </c>
      <c r="E53" s="5">
        <f>C53*$B$9/$B$8</f>
        <v/>
      </c>
      <c r="F53" s="8">
        <f>D53*$B$14</f>
        <v/>
      </c>
      <c r="G53" s="5">
        <f>F53*($B$13+$B$19*Inputs!$D$148)/1000</f>
        <v/>
      </c>
      <c r="H53" s="5">
        <f>$B$5*G53</f>
        <v/>
      </c>
      <c r="I53" s="5">
        <f>D53*$B$16*$B$9</f>
        <v/>
      </c>
      <c r="J53" s="5">
        <f>G53-H53-E53-I53</f>
        <v/>
      </c>
      <c r="K53" s="5">
        <f>J53*B53</f>
        <v/>
      </c>
      <c r="L53" s="5">
        <f>IF(AND(A53&gt;=$B$8,A53&lt;$B$8+$B$18),$B$9/$B$18,0)</f>
        <v/>
      </c>
      <c r="M53" s="5">
        <f>G53-H53-L53</f>
        <v/>
      </c>
      <c r="N53" s="5">
        <f>SUM($M$41:M53)</f>
        <v/>
      </c>
      <c r="O53" s="5">
        <f>$B$17*MAX(0,N53)</f>
        <v/>
      </c>
      <c r="P53" s="5">
        <f>MAX(0,O53-O52)</f>
        <v/>
      </c>
      <c r="Q53" s="5">
        <f>J53-P53</f>
        <v/>
      </c>
      <c r="R53" s="5">
        <f>Q53*B53</f>
        <v/>
      </c>
      <c r="S53" s="5">
        <f>SUM($Q$41:Q53)</f>
        <v/>
      </c>
    </row>
    <row r="54">
      <c r="A54" t="n">
        <v>13</v>
      </c>
      <c r="B54" s="4">
        <f>1/(1+$B$6)^A54</f>
        <v/>
      </c>
      <c r="C54">
        <f>IF(A54&lt;$B$8,1,0)</f>
        <v/>
      </c>
      <c r="D54">
        <f>IF(AND(A54&gt;=$B$8,A54&lt;$B$8+$B$7),1,0)</f>
        <v/>
      </c>
      <c r="E54" s="5">
        <f>C54*$B$9/$B$8</f>
        <v/>
      </c>
      <c r="F54" s="8">
        <f>D54*$B$14</f>
        <v/>
      </c>
      <c r="G54" s="5">
        <f>F54*($B$13+$B$19*Inputs!$D$148)/1000</f>
        <v/>
      </c>
      <c r="H54" s="5">
        <f>$B$5*G54</f>
        <v/>
      </c>
      <c r="I54" s="5">
        <f>D54*$B$16*$B$9</f>
        <v/>
      </c>
      <c r="J54" s="5">
        <f>G54-H54-E54-I54</f>
        <v/>
      </c>
      <c r="K54" s="5">
        <f>J54*B54</f>
        <v/>
      </c>
      <c r="L54" s="5">
        <f>IF(AND(A54&gt;=$B$8,A54&lt;$B$8+$B$18),$B$9/$B$18,0)</f>
        <v/>
      </c>
      <c r="M54" s="5">
        <f>G54-H54-L54</f>
        <v/>
      </c>
      <c r="N54" s="5">
        <f>SUM($M$41:M54)</f>
        <v/>
      </c>
      <c r="O54" s="5">
        <f>$B$17*MAX(0,N54)</f>
        <v/>
      </c>
      <c r="P54" s="5">
        <f>MAX(0,O54-O53)</f>
        <v/>
      </c>
      <c r="Q54" s="5">
        <f>J54-P54</f>
        <v/>
      </c>
      <c r="R54" s="5">
        <f>Q54*B54</f>
        <v/>
      </c>
      <c r="S54" s="5">
        <f>SUM($Q$41:Q54)</f>
        <v/>
      </c>
    </row>
    <row r="55">
      <c r="A55" t="n">
        <v>14</v>
      </c>
      <c r="B55" s="4">
        <f>1/(1+$B$6)^A55</f>
        <v/>
      </c>
      <c r="C55">
        <f>IF(A55&lt;$B$8,1,0)</f>
        <v/>
      </c>
      <c r="D55">
        <f>IF(AND(A55&gt;=$B$8,A55&lt;$B$8+$B$7),1,0)</f>
        <v/>
      </c>
      <c r="E55" s="5">
        <f>C55*$B$9/$B$8</f>
        <v/>
      </c>
      <c r="F55" s="8">
        <f>D55*$B$14</f>
        <v/>
      </c>
      <c r="G55" s="5">
        <f>F55*($B$13+$B$19*Inputs!$D$148)/1000</f>
        <v/>
      </c>
      <c r="H55" s="5">
        <f>$B$5*G55</f>
        <v/>
      </c>
      <c r="I55" s="5">
        <f>D55*$B$16*$B$9</f>
        <v/>
      </c>
      <c r="J55" s="5">
        <f>G55-H55-E55-I55</f>
        <v/>
      </c>
      <c r="K55" s="5">
        <f>J55*B55</f>
        <v/>
      </c>
      <c r="L55" s="5">
        <f>IF(AND(A55&gt;=$B$8,A55&lt;$B$8+$B$18),$B$9/$B$18,0)</f>
        <v/>
      </c>
      <c r="M55" s="5">
        <f>G55-H55-L55</f>
        <v/>
      </c>
      <c r="N55" s="5">
        <f>SUM($M$41:M55)</f>
        <v/>
      </c>
      <c r="O55" s="5">
        <f>$B$17*MAX(0,N55)</f>
        <v/>
      </c>
      <c r="P55" s="5">
        <f>MAX(0,O55-O54)</f>
        <v/>
      </c>
      <c r="Q55" s="5">
        <f>J55-P55</f>
        <v/>
      </c>
      <c r="R55" s="5">
        <f>Q55*B55</f>
        <v/>
      </c>
      <c r="S55" s="5">
        <f>SUM($Q$41:Q55)</f>
        <v/>
      </c>
    </row>
    <row r="56">
      <c r="A56" t="n">
        <v>15</v>
      </c>
      <c r="B56" s="4">
        <f>1/(1+$B$6)^A56</f>
        <v/>
      </c>
      <c r="C56">
        <f>IF(A56&lt;$B$8,1,0)</f>
        <v/>
      </c>
      <c r="D56">
        <f>IF(AND(A56&gt;=$B$8,A56&lt;$B$8+$B$7),1,0)</f>
        <v/>
      </c>
      <c r="E56" s="5">
        <f>C56*$B$9/$B$8</f>
        <v/>
      </c>
      <c r="F56" s="8">
        <f>D56*$B$14</f>
        <v/>
      </c>
      <c r="G56" s="5">
        <f>F56*($B$13+$B$19*Inputs!$D$148)/1000</f>
        <v/>
      </c>
      <c r="H56" s="5">
        <f>$B$5*G56</f>
        <v/>
      </c>
      <c r="I56" s="5">
        <f>D56*$B$16*$B$9</f>
        <v/>
      </c>
      <c r="J56" s="5">
        <f>G56-H56-E56-I56</f>
        <v/>
      </c>
      <c r="K56" s="5">
        <f>J56*B56</f>
        <v/>
      </c>
      <c r="L56" s="5">
        <f>IF(AND(A56&gt;=$B$8,A56&lt;$B$8+$B$18),$B$9/$B$18,0)</f>
        <v/>
      </c>
      <c r="M56" s="5">
        <f>G56-H56-L56</f>
        <v/>
      </c>
      <c r="N56" s="5">
        <f>SUM($M$41:M56)</f>
        <v/>
      </c>
      <c r="O56" s="5">
        <f>$B$17*MAX(0,N56)</f>
        <v/>
      </c>
      <c r="P56" s="5">
        <f>MAX(0,O56-O55)</f>
        <v/>
      </c>
      <c r="Q56" s="5">
        <f>J56-P56</f>
        <v/>
      </c>
      <c r="R56" s="5">
        <f>Q56*B56</f>
        <v/>
      </c>
      <c r="S56" s="5">
        <f>SUM($Q$41:Q56)</f>
        <v/>
      </c>
    </row>
    <row r="57">
      <c r="A57" t="n">
        <v>16</v>
      </c>
      <c r="B57" s="4">
        <f>1/(1+$B$6)^A57</f>
        <v/>
      </c>
      <c r="C57">
        <f>IF(A57&lt;$B$8,1,0)</f>
        <v/>
      </c>
      <c r="D57">
        <f>IF(AND(A57&gt;=$B$8,A57&lt;$B$8+$B$7),1,0)</f>
        <v/>
      </c>
      <c r="E57" s="5">
        <f>C57*$B$9/$B$8</f>
        <v/>
      </c>
      <c r="F57" s="8">
        <f>D57*$B$14</f>
        <v/>
      </c>
      <c r="G57" s="5">
        <f>F57*($B$13+$B$19*Inputs!$D$148)/1000</f>
        <v/>
      </c>
      <c r="H57" s="5">
        <f>$B$5*G57</f>
        <v/>
      </c>
      <c r="I57" s="5">
        <f>D57*$B$16*$B$9</f>
        <v/>
      </c>
      <c r="J57" s="5">
        <f>G57-H57-E57-I57</f>
        <v/>
      </c>
      <c r="K57" s="5">
        <f>J57*B57</f>
        <v/>
      </c>
      <c r="L57" s="5">
        <f>IF(AND(A57&gt;=$B$8,A57&lt;$B$8+$B$18),$B$9/$B$18,0)</f>
        <v/>
      </c>
      <c r="M57" s="5">
        <f>G57-H57-L57</f>
        <v/>
      </c>
      <c r="N57" s="5">
        <f>SUM($M$41:M57)</f>
        <v/>
      </c>
      <c r="O57" s="5">
        <f>$B$17*MAX(0,N57)</f>
        <v/>
      </c>
      <c r="P57" s="5">
        <f>MAX(0,O57-O56)</f>
        <v/>
      </c>
      <c r="Q57" s="5">
        <f>J57-P57</f>
        <v/>
      </c>
      <c r="R57" s="5">
        <f>Q57*B57</f>
        <v/>
      </c>
      <c r="S57" s="5">
        <f>SUM($Q$41:Q57)</f>
        <v/>
      </c>
    </row>
    <row r="58">
      <c r="A58" t="n">
        <v>17</v>
      </c>
      <c r="B58" s="4">
        <f>1/(1+$B$6)^A58</f>
        <v/>
      </c>
      <c r="C58">
        <f>IF(A58&lt;$B$8,1,0)</f>
        <v/>
      </c>
      <c r="D58">
        <f>IF(AND(A58&gt;=$B$8,A58&lt;$B$8+$B$7),1,0)</f>
        <v/>
      </c>
      <c r="E58" s="5">
        <f>C58*$B$9/$B$8</f>
        <v/>
      </c>
      <c r="F58" s="8">
        <f>D58*$B$14</f>
        <v/>
      </c>
      <c r="G58" s="5">
        <f>F58*($B$13+$B$19*Inputs!$D$148)/1000</f>
        <v/>
      </c>
      <c r="H58" s="5">
        <f>$B$5*G58</f>
        <v/>
      </c>
      <c r="I58" s="5">
        <f>D58*$B$16*$B$9</f>
        <v/>
      </c>
      <c r="J58" s="5">
        <f>G58-H58-E58-I58</f>
        <v/>
      </c>
      <c r="K58" s="5">
        <f>J58*B58</f>
        <v/>
      </c>
      <c r="L58" s="5">
        <f>IF(AND(A58&gt;=$B$8,A58&lt;$B$8+$B$18),$B$9/$B$18,0)</f>
        <v/>
      </c>
      <c r="M58" s="5">
        <f>G58-H58-L58</f>
        <v/>
      </c>
      <c r="N58" s="5">
        <f>SUM($M$41:M58)</f>
        <v/>
      </c>
      <c r="O58" s="5">
        <f>$B$17*MAX(0,N58)</f>
        <v/>
      </c>
      <c r="P58" s="5">
        <f>MAX(0,O58-O57)</f>
        <v/>
      </c>
      <c r="Q58" s="5">
        <f>J58-P58</f>
        <v/>
      </c>
      <c r="R58" s="5">
        <f>Q58*B58</f>
        <v/>
      </c>
      <c r="S58" s="5">
        <f>SUM($Q$41:Q58)</f>
        <v/>
      </c>
    </row>
    <row r="59">
      <c r="A59" t="n">
        <v>18</v>
      </c>
      <c r="B59" s="4">
        <f>1/(1+$B$6)^A59</f>
        <v/>
      </c>
      <c r="C59">
        <f>IF(A59&lt;$B$8,1,0)</f>
        <v/>
      </c>
      <c r="D59">
        <f>IF(AND(A59&gt;=$B$8,A59&lt;$B$8+$B$7),1,0)</f>
        <v/>
      </c>
      <c r="E59" s="5">
        <f>C59*$B$9/$B$8</f>
        <v/>
      </c>
      <c r="F59" s="8">
        <f>D59*$B$14</f>
        <v/>
      </c>
      <c r="G59" s="5">
        <f>F59*($B$13+$B$19*Inputs!$D$148)/1000</f>
        <v/>
      </c>
      <c r="H59" s="5">
        <f>$B$5*G59</f>
        <v/>
      </c>
      <c r="I59" s="5">
        <f>D59*$B$16*$B$9</f>
        <v/>
      </c>
      <c r="J59" s="5">
        <f>G59-H59-E59-I59</f>
        <v/>
      </c>
      <c r="K59" s="5">
        <f>J59*B59</f>
        <v/>
      </c>
      <c r="L59" s="5">
        <f>IF(AND(A59&gt;=$B$8,A59&lt;$B$8+$B$18),$B$9/$B$18,0)</f>
        <v/>
      </c>
      <c r="M59" s="5">
        <f>G59-H59-L59</f>
        <v/>
      </c>
      <c r="N59" s="5">
        <f>SUM($M$41:M59)</f>
        <v/>
      </c>
      <c r="O59" s="5">
        <f>$B$17*MAX(0,N59)</f>
        <v/>
      </c>
      <c r="P59" s="5">
        <f>MAX(0,O59-O58)</f>
        <v/>
      </c>
      <c r="Q59" s="5">
        <f>J59-P59</f>
        <v/>
      </c>
      <c r="R59" s="5">
        <f>Q59*B59</f>
        <v/>
      </c>
      <c r="S59" s="5">
        <f>SUM($Q$41:Q59)</f>
        <v/>
      </c>
    </row>
    <row r="60">
      <c r="A60" t="n">
        <v>19</v>
      </c>
      <c r="B60" s="4">
        <f>1/(1+$B$6)^A60</f>
        <v/>
      </c>
      <c r="C60">
        <f>IF(A60&lt;$B$8,1,0)</f>
        <v/>
      </c>
      <c r="D60">
        <f>IF(AND(A60&gt;=$B$8,A60&lt;$B$8+$B$7),1,0)</f>
        <v/>
      </c>
      <c r="E60" s="5">
        <f>C60*$B$9/$B$8</f>
        <v/>
      </c>
      <c r="F60" s="8">
        <f>D60*$B$14</f>
        <v/>
      </c>
      <c r="G60" s="5">
        <f>F60*($B$13+$B$19*Inputs!$D$148)/1000</f>
        <v/>
      </c>
      <c r="H60" s="5">
        <f>$B$5*G60</f>
        <v/>
      </c>
      <c r="I60" s="5">
        <f>D60*$B$16*$B$9</f>
        <v/>
      </c>
      <c r="J60" s="5">
        <f>G60-H60-E60-I60</f>
        <v/>
      </c>
      <c r="K60" s="5">
        <f>J60*B60</f>
        <v/>
      </c>
      <c r="L60" s="5">
        <f>IF(AND(A60&gt;=$B$8,A60&lt;$B$8+$B$18),$B$9/$B$18,0)</f>
        <v/>
      </c>
      <c r="M60" s="5">
        <f>G60-H60-L60</f>
        <v/>
      </c>
      <c r="N60" s="5">
        <f>SUM($M$41:M60)</f>
        <v/>
      </c>
      <c r="O60" s="5">
        <f>$B$17*MAX(0,N60)</f>
        <v/>
      </c>
      <c r="P60" s="5">
        <f>MAX(0,O60-O59)</f>
        <v/>
      </c>
      <c r="Q60" s="5">
        <f>J60-P60</f>
        <v/>
      </c>
      <c r="R60" s="5">
        <f>Q60*B60</f>
        <v/>
      </c>
      <c r="S60" s="5">
        <f>SUM($Q$41:Q60)</f>
        <v/>
      </c>
    </row>
    <row r="61">
      <c r="A61" t="n">
        <v>20</v>
      </c>
      <c r="B61" s="4">
        <f>1/(1+$B$6)^A61</f>
        <v/>
      </c>
      <c r="C61">
        <f>IF(A61&lt;$B$8,1,0)</f>
        <v/>
      </c>
      <c r="D61">
        <f>IF(AND(A61&gt;=$B$8,A61&lt;$B$8+$B$7),1,0)</f>
        <v/>
      </c>
      <c r="E61" s="5">
        <f>C61*$B$9/$B$8</f>
        <v/>
      </c>
      <c r="F61" s="8">
        <f>D61*$B$14</f>
        <v/>
      </c>
      <c r="G61" s="5">
        <f>F61*($B$13+$B$19*Inputs!$D$148)/1000</f>
        <v/>
      </c>
      <c r="H61" s="5">
        <f>$B$5*G61</f>
        <v/>
      </c>
      <c r="I61" s="5">
        <f>D61*$B$16*$B$9</f>
        <v/>
      </c>
      <c r="J61" s="5">
        <f>G61-H61-E61-I61</f>
        <v/>
      </c>
      <c r="K61" s="5">
        <f>J61*B61</f>
        <v/>
      </c>
      <c r="L61" s="5">
        <f>IF(AND(A61&gt;=$B$8,A61&lt;$B$8+$B$18),$B$9/$B$18,0)</f>
        <v/>
      </c>
      <c r="M61" s="5">
        <f>G61-H61-L61</f>
        <v/>
      </c>
      <c r="N61" s="5">
        <f>SUM($M$41:M61)</f>
        <v/>
      </c>
      <c r="O61" s="5">
        <f>$B$17*MAX(0,N61)</f>
        <v/>
      </c>
      <c r="P61" s="5">
        <f>MAX(0,O61-O60)</f>
        <v/>
      </c>
      <c r="Q61" s="5">
        <f>J61-P61</f>
        <v/>
      </c>
      <c r="R61" s="5">
        <f>Q61*B61</f>
        <v/>
      </c>
      <c r="S61" s="5">
        <f>SUM($Q$41:Q61)</f>
        <v/>
      </c>
    </row>
    <row r="62">
      <c r="A62" t="n">
        <v>21</v>
      </c>
      <c r="B62" s="4">
        <f>1/(1+$B$6)^A62</f>
        <v/>
      </c>
      <c r="C62">
        <f>IF(A62&lt;$B$8,1,0)</f>
        <v/>
      </c>
      <c r="D62">
        <f>IF(AND(A62&gt;=$B$8,A62&lt;$B$8+$B$7),1,0)</f>
        <v/>
      </c>
      <c r="E62" s="5">
        <f>C62*$B$9/$B$8</f>
        <v/>
      </c>
      <c r="F62" s="8">
        <f>D62*$B$14</f>
        <v/>
      </c>
      <c r="G62" s="5">
        <f>F62*($B$13+$B$19*Inputs!$D$148)/1000</f>
        <v/>
      </c>
      <c r="H62" s="5">
        <f>$B$5*G62</f>
        <v/>
      </c>
      <c r="I62" s="5">
        <f>D62*$B$16*$B$9</f>
        <v/>
      </c>
      <c r="J62" s="5">
        <f>G62-H62-E62-I62</f>
        <v/>
      </c>
      <c r="K62" s="5">
        <f>J62*B62</f>
        <v/>
      </c>
      <c r="L62" s="5">
        <f>IF(AND(A62&gt;=$B$8,A62&lt;$B$8+$B$18),$B$9/$B$18,0)</f>
        <v/>
      </c>
      <c r="M62" s="5">
        <f>G62-H62-L62</f>
        <v/>
      </c>
      <c r="N62" s="5">
        <f>SUM($M$41:M62)</f>
        <v/>
      </c>
      <c r="O62" s="5">
        <f>$B$17*MAX(0,N62)</f>
        <v/>
      </c>
      <c r="P62" s="5">
        <f>MAX(0,O62-O61)</f>
        <v/>
      </c>
      <c r="Q62" s="5">
        <f>J62-P62</f>
        <v/>
      </c>
      <c r="R62" s="5">
        <f>Q62*B62</f>
        <v/>
      </c>
      <c r="S62" s="5">
        <f>SUM($Q$41:Q62)</f>
        <v/>
      </c>
    </row>
    <row r="63">
      <c r="A63" t="n">
        <v>22</v>
      </c>
      <c r="B63" s="4">
        <f>1/(1+$B$6)^A63</f>
        <v/>
      </c>
      <c r="C63">
        <f>IF(A63&lt;$B$8,1,0)</f>
        <v/>
      </c>
      <c r="D63">
        <f>IF(AND(A63&gt;=$B$8,A63&lt;$B$8+$B$7),1,0)</f>
        <v/>
      </c>
      <c r="E63" s="5">
        <f>C63*$B$9/$B$8</f>
        <v/>
      </c>
      <c r="F63" s="8">
        <f>D63*$B$14</f>
        <v/>
      </c>
      <c r="G63" s="5">
        <f>F63*($B$13+$B$19*Inputs!$D$148)/1000</f>
        <v/>
      </c>
      <c r="H63" s="5">
        <f>$B$5*G63</f>
        <v/>
      </c>
      <c r="I63" s="5">
        <f>D63*$B$16*$B$9</f>
        <v/>
      </c>
      <c r="J63" s="5">
        <f>G63-H63-E63-I63</f>
        <v/>
      </c>
      <c r="K63" s="5">
        <f>J63*B63</f>
        <v/>
      </c>
      <c r="L63" s="5">
        <f>IF(AND(A63&gt;=$B$8,A63&lt;$B$8+$B$18),$B$9/$B$18,0)</f>
        <v/>
      </c>
      <c r="M63" s="5">
        <f>G63-H63-L63</f>
        <v/>
      </c>
      <c r="N63" s="5">
        <f>SUM($M$41:M63)</f>
        <v/>
      </c>
      <c r="O63" s="5">
        <f>$B$17*MAX(0,N63)</f>
        <v/>
      </c>
      <c r="P63" s="5">
        <f>MAX(0,O63-O62)</f>
        <v/>
      </c>
      <c r="Q63" s="5">
        <f>J63-P63</f>
        <v/>
      </c>
      <c r="R63" s="5">
        <f>Q63*B63</f>
        <v/>
      </c>
      <c r="S63" s="5">
        <f>SUM($Q$41:Q63)</f>
        <v/>
      </c>
    </row>
    <row r="66">
      <c r="A66" s="1" t="inlineStr">
        <is>
          <t>Sensitivity cases</t>
        </is>
      </c>
    </row>
    <row r="67">
      <c r="A67" s="7" t="inlineStr">
        <is>
          <t>Case</t>
        </is>
      </c>
      <c r="B67" s="7" t="inlineStr">
        <is>
          <t>Capital cost factor</t>
        </is>
      </c>
      <c r="C67" s="7" t="inlineStr">
        <is>
          <t>Opex factor</t>
        </is>
      </c>
      <c r="D67" s="7" t="inlineStr">
        <is>
          <t>Revenue factor</t>
        </is>
      </c>
      <c r="E67" s="7" t="inlineStr">
        <is>
          <t>Opening delay (years)</t>
        </is>
      </c>
      <c r="F67" s="7" t="inlineStr">
        <is>
          <t>Annuity factor</t>
        </is>
      </c>
      <c r="G67" s="7" t="inlineStr">
        <is>
          <t>NPV before tax, park-only</t>
        </is>
      </c>
      <c r="H67" s="7" t="inlineStr">
        <is>
          <t>NPV before tax, complex (reference)</t>
        </is>
      </c>
      <c r="I67" s="7" t="inlineStr">
        <is>
          <t>Replacement share</t>
        </is>
      </c>
      <c r="J67" s="7" t="inlineStr">
        <is>
          <t>Taxable income, park-only</t>
        </is>
      </c>
      <c r="K67" s="7" t="inlineStr">
        <is>
          <t>NPV after tax, park-only</t>
        </is>
      </c>
      <c r="L67" s="7" t="inlineStr">
        <is>
          <t>Taxable income, complex</t>
        </is>
      </c>
      <c r="M67" s="7" t="inlineStr">
        <is>
          <t>NPV after tax, complex</t>
        </is>
      </c>
      <c r="N67" s="1" t="inlineStr">
        <is>
          <t>Chart label</t>
        </is>
      </c>
    </row>
    <row r="68">
      <c r="A68" t="inlineStr">
        <is>
          <t>Base</t>
        </is>
      </c>
      <c r="B68" t="n">
        <v>1</v>
      </c>
      <c r="C68" t="n">
        <v>1</v>
      </c>
      <c r="D68" t="n">
        <v>1</v>
      </c>
      <c r="E68" t="n">
        <v>0</v>
      </c>
      <c r="F68" s="4">
        <f>SUMPRODUCT($B$41:$B$63*($A$41:$A$63&gt;=$B$8+E68)*($A$41:$A$63&lt;$B$8+E68+$B$7))</f>
        <v/>
      </c>
      <c r="G68" s="5">
        <f>(D68-C68*$B$5)*$B$15*F68-B68*$B$28-I68*B68*$B$9*F68</f>
        <v/>
      </c>
      <c r="H68" s="5">
        <f>(D68-C68*$B$5)*$C$15*F68-B68*($C$9/$B$9)*$B$28-I68*B68*$C$9*F68</f>
        <v/>
      </c>
      <c r="I68" s="4">
        <f>$B$16</f>
        <v/>
      </c>
      <c r="J68" s="5">
        <f>D68*$B$15-C68*$B$5*$B$15-B68*$B$9/$B$18</f>
        <v/>
      </c>
      <c r="K68" s="5">
        <f>IF($B$18&lt;$B$7,"n/a",G68-$B$17*MAX(0,J68)*F68)</f>
        <v/>
      </c>
      <c r="L68" s="5">
        <f>D68*$C$15-C68*$B$5*$C$15-B68*$C$9/$C$18</f>
        <v/>
      </c>
      <c r="M68" s="5">
        <f>IF($C$18&lt;$C$7,"n/a",H68-$B$17*MAX(0,L68)*F68)</f>
        <v/>
      </c>
      <c r="N68" t="inlineStr">
        <is>
          <t>Base</t>
        </is>
      </c>
    </row>
    <row r="69">
      <c r="A69" t="inlineStr">
        <is>
          <t>Construction cost +5%</t>
        </is>
      </c>
      <c r="B69" t="n">
        <v>1.05</v>
      </c>
      <c r="C69" t="n">
        <v>1</v>
      </c>
      <c r="D69" t="n">
        <v>1</v>
      </c>
      <c r="E69" t="n">
        <v>0</v>
      </c>
      <c r="F69" s="4">
        <f>SUMPRODUCT($B$41:$B$63*($A$41:$A$63&gt;=$B$8+E69)*($A$41:$A$63&lt;$B$8+E69+$B$7))</f>
        <v/>
      </c>
      <c r="G69" s="5">
        <f>(D69-C69*$B$5)*$B$15*F69-B69*$B$28-I69*B69*$B$9*F69</f>
        <v/>
      </c>
      <c r="H69" s="5">
        <f>(D69-C69*$B$5)*$C$15*F69-B69*($C$9/$B$9)*$B$28-I69*B69*$C$9*F69</f>
        <v/>
      </c>
      <c r="I69" s="4">
        <f>$B$16</f>
        <v/>
      </c>
      <c r="J69" s="5">
        <f>D69*$B$15-C69*$B$5*$B$15-B69*$B$9/$B$18</f>
        <v/>
      </c>
      <c r="K69" s="5">
        <f>IF($B$18&lt;$B$7,"n/a",G69-$B$17*MAX(0,J69)*F69)</f>
        <v/>
      </c>
      <c r="L69" s="5">
        <f>D69*$C$15-C69*$B$5*$C$15-B69*$C$9/$C$18</f>
        <v/>
      </c>
      <c r="M69" s="5">
        <f>IF($C$18&lt;$C$7,"n/a",H69-$B$17*MAX(0,L69)*F69)</f>
        <v/>
      </c>
      <c r="N69" t="inlineStr">
        <is>
          <t>Construction cost +5%</t>
        </is>
      </c>
    </row>
    <row r="70">
      <c r="A70" t="inlineStr">
        <is>
          <t>Construction cost -5%</t>
        </is>
      </c>
      <c r="B70" t="n">
        <v>0.95</v>
      </c>
      <c r="C70" t="n">
        <v>1</v>
      </c>
      <c r="D70" t="n">
        <v>1</v>
      </c>
      <c r="E70" t="n">
        <v>0</v>
      </c>
      <c r="F70" s="4">
        <f>SUMPRODUCT($B$41:$B$63*($A$41:$A$63&gt;=$B$8+E70)*($A$41:$A$63&lt;$B$8+E70+$B$7))</f>
        <v/>
      </c>
      <c r="G70" s="5">
        <f>(D70-C70*$B$5)*$B$15*F70-B70*$B$28-I70*B70*$B$9*F70</f>
        <v/>
      </c>
      <c r="H70" s="5">
        <f>(D70-C70*$B$5)*$C$15*F70-B70*($C$9/$B$9)*$B$28-I70*B70*$C$9*F70</f>
        <v/>
      </c>
      <c r="I70" s="4">
        <f>$B$16</f>
        <v/>
      </c>
      <c r="J70" s="5">
        <f>D70*$B$15-C70*$B$5*$B$15-B70*$B$9/$B$18</f>
        <v/>
      </c>
      <c r="K70" s="5">
        <f>IF($B$18&lt;$B$7,"n/a",G70-$B$17*MAX(0,J70)*F70)</f>
        <v/>
      </c>
      <c r="L70" s="5">
        <f>D70*$C$15-C70*$B$5*$C$15-B70*$C$9/$C$18</f>
        <v/>
      </c>
      <c r="M70" s="5">
        <f>IF($C$18&lt;$C$7,"n/a",H70-$B$17*MAX(0,L70)*F70)</f>
        <v/>
      </c>
      <c r="N70" t="inlineStr">
        <is>
          <t>Construction cost -5%</t>
        </is>
      </c>
    </row>
    <row r="71">
      <c r="A71" t="inlineStr">
        <is>
          <t>Construction cost +10%</t>
        </is>
      </c>
      <c r="B71" t="n">
        <v>1.1</v>
      </c>
      <c r="C71" t="n">
        <v>1</v>
      </c>
      <c r="D71" t="n">
        <v>1</v>
      </c>
      <c r="E71" t="n">
        <v>0</v>
      </c>
      <c r="F71" s="4">
        <f>SUMPRODUCT($B$41:$B$63*($A$41:$A$63&gt;=$B$8+E71)*($A$41:$A$63&lt;$B$8+E71+$B$7))</f>
        <v/>
      </c>
      <c r="G71" s="5">
        <f>(D71-C71*$B$5)*$B$15*F71-B71*$B$28-I71*B71*$B$9*F71</f>
        <v/>
      </c>
      <c r="H71" s="5">
        <f>(D71-C71*$B$5)*$C$15*F71-B71*($C$9/$B$9)*$B$28-I71*B71*$C$9*F71</f>
        <v/>
      </c>
      <c r="I71" s="4">
        <f>$B$16</f>
        <v/>
      </c>
      <c r="J71" s="5">
        <f>D71*$B$15-C71*$B$5*$B$15-B71*$B$9/$B$18</f>
        <v/>
      </c>
      <c r="K71" s="5">
        <f>IF($B$18&lt;$B$7,"n/a",G71-$B$17*MAX(0,J71)*F71)</f>
        <v/>
      </c>
      <c r="L71" s="5">
        <f>D71*$C$15-C71*$B$5*$C$15-B71*$C$9/$C$18</f>
        <v/>
      </c>
      <c r="M71" s="5">
        <f>IF($C$18&lt;$C$7,"n/a",H71-$B$17*MAX(0,L71)*F71)</f>
        <v/>
      </c>
      <c r="N71" t="inlineStr">
        <is>
          <t>Construction cost +10%</t>
        </is>
      </c>
    </row>
    <row r="72">
      <c r="A72" t="inlineStr">
        <is>
          <t>Construction cost -10%</t>
        </is>
      </c>
      <c r="B72" t="n">
        <v>0.9</v>
      </c>
      <c r="C72" t="n">
        <v>1</v>
      </c>
      <c r="D72" t="n">
        <v>1</v>
      </c>
      <c r="E72" t="n">
        <v>0</v>
      </c>
      <c r="F72" s="4">
        <f>SUMPRODUCT($B$41:$B$63*($A$41:$A$63&gt;=$B$8+E72)*($A$41:$A$63&lt;$B$8+E72+$B$7))</f>
        <v/>
      </c>
      <c r="G72" s="5">
        <f>(D72-C72*$B$5)*$B$15*F72-B72*$B$28-I72*B72*$B$9*F72</f>
        <v/>
      </c>
      <c r="H72" s="5">
        <f>(D72-C72*$B$5)*$C$15*F72-B72*($C$9/$B$9)*$B$28-I72*B72*$C$9*F72</f>
        <v/>
      </c>
      <c r="I72" s="4">
        <f>$B$16</f>
        <v/>
      </c>
      <c r="J72" s="5">
        <f>D72*$B$15-C72*$B$5*$B$15-B72*$B$9/$B$18</f>
        <v/>
      </c>
      <c r="K72" s="5">
        <f>IF($B$18&lt;$B$7,"n/a",G72-$B$17*MAX(0,J72)*F72)</f>
        <v/>
      </c>
      <c r="L72" s="5">
        <f>D72*$C$15-C72*$B$5*$C$15-B72*$C$9/$C$18</f>
        <v/>
      </c>
      <c r="M72" s="5">
        <f>IF($C$18&lt;$C$7,"n/a",H72-$B$17*MAX(0,L72)*F72)</f>
        <v/>
      </c>
      <c r="N72" t="inlineStr">
        <is>
          <t>Construction cost -10%</t>
        </is>
      </c>
    </row>
    <row r="73">
      <c r="A73" t="inlineStr">
        <is>
          <t>Construction cost +20%</t>
        </is>
      </c>
      <c r="B73" t="n">
        <v>1.2</v>
      </c>
      <c r="C73" t="n">
        <v>1</v>
      </c>
      <c r="D73" t="n">
        <v>1</v>
      </c>
      <c r="E73" t="n">
        <v>0</v>
      </c>
      <c r="F73" s="4">
        <f>SUMPRODUCT($B$41:$B$63*($A$41:$A$63&gt;=$B$8+E73)*($A$41:$A$63&lt;$B$8+E73+$B$7))</f>
        <v/>
      </c>
      <c r="G73" s="5">
        <f>(D73-C73*$B$5)*$B$15*F73-B73*$B$28-I73*B73*$B$9*F73</f>
        <v/>
      </c>
      <c r="H73" s="5">
        <f>(D73-C73*$B$5)*$C$15*F73-B73*($C$9/$B$9)*$B$28-I73*B73*$C$9*F73</f>
        <v/>
      </c>
      <c r="I73" s="4">
        <f>$B$16</f>
        <v/>
      </c>
      <c r="J73" s="5">
        <f>D73*$B$15-C73*$B$5*$B$15-B73*$B$9/$B$18</f>
        <v/>
      </c>
      <c r="K73" s="5">
        <f>IF($B$18&lt;$B$7,"n/a",G73-$B$17*MAX(0,J73)*F73)</f>
        <v/>
      </c>
      <c r="L73" s="5">
        <f>D73*$C$15-C73*$B$5*$C$15-B73*$C$9/$C$18</f>
        <v/>
      </c>
      <c r="M73" s="5">
        <f>IF($C$18&lt;$C$7,"n/a",H73-$B$17*MAX(0,L73)*F73)</f>
        <v/>
      </c>
      <c r="N73" t="inlineStr">
        <is>
          <t>Construction cost +20%</t>
        </is>
      </c>
    </row>
    <row r="74">
      <c r="A74" t="inlineStr">
        <is>
          <t>Construction cost -20%</t>
        </is>
      </c>
      <c r="B74" t="n">
        <v>0.8</v>
      </c>
      <c r="C74" t="n">
        <v>1</v>
      </c>
      <c r="D74" t="n">
        <v>1</v>
      </c>
      <c r="E74" t="n">
        <v>0</v>
      </c>
      <c r="F74" s="4">
        <f>SUMPRODUCT($B$41:$B$63*($A$41:$A$63&gt;=$B$8+E74)*($A$41:$A$63&lt;$B$8+E74+$B$7))</f>
        <v/>
      </c>
      <c r="G74" s="5">
        <f>(D74-C74*$B$5)*$B$15*F74-B74*$B$28-I74*B74*$B$9*F74</f>
        <v/>
      </c>
      <c r="H74" s="5">
        <f>(D74-C74*$B$5)*$C$15*F74-B74*($C$9/$B$9)*$B$28-I74*B74*$C$9*F74</f>
        <v/>
      </c>
      <c r="I74" s="4">
        <f>$B$16</f>
        <v/>
      </c>
      <c r="J74" s="5">
        <f>D74*$B$15-C74*$B$5*$B$15-B74*$B$9/$B$18</f>
        <v/>
      </c>
      <c r="K74" s="5">
        <f>IF($B$18&lt;$B$7,"n/a",G74-$B$17*MAX(0,J74)*F74)</f>
        <v/>
      </c>
      <c r="L74" s="5">
        <f>D74*$C$15-C74*$B$5*$C$15-B74*$C$9/$C$18</f>
        <v/>
      </c>
      <c r="M74" s="5">
        <f>IF($C$18&lt;$C$7,"n/a",H74-$B$17*MAX(0,L74)*F74)</f>
        <v/>
      </c>
      <c r="N74" t="inlineStr">
        <is>
          <t>Construction cost -20%</t>
        </is>
      </c>
    </row>
    <row r="75">
      <c r="A75" t="inlineStr">
        <is>
          <t>Operating cost +5%</t>
        </is>
      </c>
      <c r="B75" t="n">
        <v>1</v>
      </c>
      <c r="C75" t="n">
        <v>1.05</v>
      </c>
      <c r="D75" t="n">
        <v>1</v>
      </c>
      <c r="E75" t="n">
        <v>0</v>
      </c>
      <c r="F75" s="4">
        <f>SUMPRODUCT($B$41:$B$63*($A$41:$A$63&gt;=$B$8+E75)*($A$41:$A$63&lt;$B$8+E75+$B$7))</f>
        <v/>
      </c>
      <c r="G75" s="5">
        <f>(D75-C75*$B$5)*$B$15*F75-B75*$B$28-I75*B75*$B$9*F75</f>
        <v/>
      </c>
      <c r="H75" s="5">
        <f>(D75-C75*$B$5)*$C$15*F75-B75*($C$9/$B$9)*$B$28-I75*B75*$C$9*F75</f>
        <v/>
      </c>
      <c r="I75" s="4">
        <f>$B$16</f>
        <v/>
      </c>
      <c r="J75" s="5">
        <f>D75*$B$15-C75*$B$5*$B$15-B75*$B$9/$B$18</f>
        <v/>
      </c>
      <c r="K75" s="5">
        <f>IF($B$18&lt;$B$7,"n/a",G75-$B$17*MAX(0,J75)*F75)</f>
        <v/>
      </c>
      <c r="L75" s="5">
        <f>D75*$C$15-C75*$B$5*$C$15-B75*$C$9/$C$18</f>
        <v/>
      </c>
      <c r="M75" s="5">
        <f>IF($C$18&lt;$C$7,"n/a",H75-$B$17*MAX(0,L75)*F75)</f>
        <v/>
      </c>
      <c r="N75" t="inlineStr">
        <is>
          <t>Operating cost +5%</t>
        </is>
      </c>
    </row>
    <row r="76">
      <c r="A76" t="inlineStr">
        <is>
          <t>Operating cost -5%</t>
        </is>
      </c>
      <c r="B76" t="n">
        <v>1</v>
      </c>
      <c r="C76" t="n">
        <v>0.95</v>
      </c>
      <c r="D76" t="n">
        <v>1</v>
      </c>
      <c r="E76" t="n">
        <v>0</v>
      </c>
      <c r="F76" s="4">
        <f>SUMPRODUCT($B$41:$B$63*($A$41:$A$63&gt;=$B$8+E76)*($A$41:$A$63&lt;$B$8+E76+$B$7))</f>
        <v/>
      </c>
      <c r="G76" s="5">
        <f>(D76-C76*$B$5)*$B$15*F76-B76*$B$28-I76*B76*$B$9*F76</f>
        <v/>
      </c>
      <c r="H76" s="5">
        <f>(D76-C76*$B$5)*$C$15*F76-B76*($C$9/$B$9)*$B$28-I76*B76*$C$9*F76</f>
        <v/>
      </c>
      <c r="I76" s="4">
        <f>$B$16</f>
        <v/>
      </c>
      <c r="J76" s="5">
        <f>D76*$B$15-C76*$B$5*$B$15-B76*$B$9/$B$18</f>
        <v/>
      </c>
      <c r="K76" s="5">
        <f>IF($B$18&lt;$B$7,"n/a",G76-$B$17*MAX(0,J76)*F76)</f>
        <v/>
      </c>
      <c r="L76" s="5">
        <f>D76*$C$15-C76*$B$5*$C$15-B76*$C$9/$C$18</f>
        <v/>
      </c>
      <c r="M76" s="5">
        <f>IF($C$18&lt;$C$7,"n/a",H76-$B$17*MAX(0,L76)*F76)</f>
        <v/>
      </c>
      <c r="N76" t="inlineStr">
        <is>
          <t>Operating cost -5%</t>
        </is>
      </c>
    </row>
    <row r="77">
      <c r="A77" t="inlineStr">
        <is>
          <t>Operating cost +10%</t>
        </is>
      </c>
      <c r="B77" t="n">
        <v>1</v>
      </c>
      <c r="C77" t="n">
        <v>1.1</v>
      </c>
      <c r="D77" t="n">
        <v>1</v>
      </c>
      <c r="E77" t="n">
        <v>0</v>
      </c>
      <c r="F77" s="4">
        <f>SUMPRODUCT($B$41:$B$63*($A$41:$A$63&gt;=$B$8+E77)*($A$41:$A$63&lt;$B$8+E77+$B$7))</f>
        <v/>
      </c>
      <c r="G77" s="5">
        <f>(D77-C77*$B$5)*$B$15*F77-B77*$B$28-I77*B77*$B$9*F77</f>
        <v/>
      </c>
      <c r="H77" s="5">
        <f>(D77-C77*$B$5)*$C$15*F77-B77*($C$9/$B$9)*$B$28-I77*B77*$C$9*F77</f>
        <v/>
      </c>
      <c r="I77" s="4">
        <f>$B$16</f>
        <v/>
      </c>
      <c r="J77" s="5">
        <f>D77*$B$15-C77*$B$5*$B$15-B77*$B$9/$B$18</f>
        <v/>
      </c>
      <c r="K77" s="5">
        <f>IF($B$18&lt;$B$7,"n/a",G77-$B$17*MAX(0,J77)*F77)</f>
        <v/>
      </c>
      <c r="L77" s="5">
        <f>D77*$C$15-C77*$B$5*$C$15-B77*$C$9/$C$18</f>
        <v/>
      </c>
      <c r="M77" s="5">
        <f>IF($C$18&lt;$C$7,"n/a",H77-$B$17*MAX(0,L77)*F77)</f>
        <v/>
      </c>
      <c r="N77" t="inlineStr">
        <is>
          <t>Operating cost +10%</t>
        </is>
      </c>
    </row>
    <row r="78">
      <c r="A78" t="inlineStr">
        <is>
          <t>Operating cost -10%</t>
        </is>
      </c>
      <c r="B78" t="n">
        <v>1</v>
      </c>
      <c r="C78" t="n">
        <v>0.9</v>
      </c>
      <c r="D78" t="n">
        <v>1</v>
      </c>
      <c r="E78" t="n">
        <v>0</v>
      </c>
      <c r="F78" s="4">
        <f>SUMPRODUCT($B$41:$B$63*($A$41:$A$63&gt;=$B$8+E78)*($A$41:$A$63&lt;$B$8+E78+$B$7))</f>
        <v/>
      </c>
      <c r="G78" s="5">
        <f>(D78-C78*$B$5)*$B$15*F78-B78*$B$28-I78*B78*$B$9*F78</f>
        <v/>
      </c>
      <c r="H78" s="5">
        <f>(D78-C78*$B$5)*$C$15*F78-B78*($C$9/$B$9)*$B$28-I78*B78*$C$9*F78</f>
        <v/>
      </c>
      <c r="I78" s="4">
        <f>$B$16</f>
        <v/>
      </c>
      <c r="J78" s="5">
        <f>D78*$B$15-C78*$B$5*$B$15-B78*$B$9/$B$18</f>
        <v/>
      </c>
      <c r="K78" s="5">
        <f>IF($B$18&lt;$B$7,"n/a",G78-$B$17*MAX(0,J78)*F78)</f>
        <v/>
      </c>
      <c r="L78" s="5">
        <f>D78*$C$15-C78*$B$5*$C$15-B78*$C$9/$C$18</f>
        <v/>
      </c>
      <c r="M78" s="5">
        <f>IF($C$18&lt;$C$7,"n/a",H78-$B$17*MAX(0,L78)*F78)</f>
        <v/>
      </c>
      <c r="N78" t="inlineStr">
        <is>
          <t>Operating cost -10%</t>
        </is>
      </c>
    </row>
    <row r="79">
      <c r="A79" t="inlineStr">
        <is>
          <t>Operating cost +20%</t>
        </is>
      </c>
      <c r="B79" t="n">
        <v>1</v>
      </c>
      <c r="C79" t="n">
        <v>1.2</v>
      </c>
      <c r="D79" t="n">
        <v>1</v>
      </c>
      <c r="E79" t="n">
        <v>0</v>
      </c>
      <c r="F79" s="4">
        <f>SUMPRODUCT($B$41:$B$63*($A$41:$A$63&gt;=$B$8+E79)*($A$41:$A$63&lt;$B$8+E79+$B$7))</f>
        <v/>
      </c>
      <c r="G79" s="5">
        <f>(D79-C79*$B$5)*$B$15*F79-B79*$B$28-I79*B79*$B$9*F79</f>
        <v/>
      </c>
      <c r="H79" s="5">
        <f>(D79-C79*$B$5)*$C$15*F79-B79*($C$9/$B$9)*$B$28-I79*B79*$C$9*F79</f>
        <v/>
      </c>
      <c r="I79" s="4">
        <f>$B$16</f>
        <v/>
      </c>
      <c r="J79" s="5">
        <f>D79*$B$15-C79*$B$5*$B$15-B79*$B$9/$B$18</f>
        <v/>
      </c>
      <c r="K79" s="5">
        <f>IF($B$18&lt;$B$7,"n/a",G79-$B$17*MAX(0,J79)*F79)</f>
        <v/>
      </c>
      <c r="L79" s="5">
        <f>D79*$C$15-C79*$B$5*$C$15-B79*$C$9/$C$18</f>
        <v/>
      </c>
      <c r="M79" s="5">
        <f>IF($C$18&lt;$C$7,"n/a",H79-$B$17*MAX(0,L79)*F79)</f>
        <v/>
      </c>
      <c r="N79" t="inlineStr">
        <is>
          <t>Operating cost +20%</t>
        </is>
      </c>
    </row>
    <row r="80">
      <c r="A80" t="inlineStr">
        <is>
          <t>Operating cost -20%</t>
        </is>
      </c>
      <c r="B80" t="n">
        <v>1</v>
      </c>
      <c r="C80" t="n">
        <v>0.8</v>
      </c>
      <c r="D80" t="n">
        <v>1</v>
      </c>
      <c r="E80" t="n">
        <v>0</v>
      </c>
      <c r="F80" s="4">
        <f>SUMPRODUCT($B$41:$B$63*($A$41:$A$63&gt;=$B$8+E80)*($A$41:$A$63&lt;$B$8+E80+$B$7))</f>
        <v/>
      </c>
      <c r="G80" s="5">
        <f>(D80-C80*$B$5)*$B$15*F80-B80*$B$28-I80*B80*$B$9*F80</f>
        <v/>
      </c>
      <c r="H80" s="5">
        <f>(D80-C80*$B$5)*$C$15*F80-B80*($C$9/$B$9)*$B$28-I80*B80*$C$9*F80</f>
        <v/>
      </c>
      <c r="I80" s="4">
        <f>$B$16</f>
        <v/>
      </c>
      <c r="J80" s="5">
        <f>D80*$B$15-C80*$B$5*$B$15-B80*$B$9/$B$18</f>
        <v/>
      </c>
      <c r="K80" s="5">
        <f>IF($B$18&lt;$B$7,"n/a",G80-$B$17*MAX(0,J80)*F80)</f>
        <v/>
      </c>
      <c r="L80" s="5">
        <f>D80*$C$15-C80*$B$5*$C$15-B80*$C$9/$C$18</f>
        <v/>
      </c>
      <c r="M80" s="5">
        <f>IF($C$18&lt;$C$7,"n/a",H80-$B$17*MAX(0,L80)*F80)</f>
        <v/>
      </c>
      <c r="N80" t="inlineStr">
        <is>
          <t>Operating cost -20%</t>
        </is>
      </c>
    </row>
    <row r="81">
      <c r="A81" t="inlineStr">
        <is>
          <t>Revenue +5%</t>
        </is>
      </c>
      <c r="B81" t="n">
        <v>1</v>
      </c>
      <c r="C81" t="n">
        <v>1</v>
      </c>
      <c r="D81" t="n">
        <v>1.05</v>
      </c>
      <c r="E81" t="n">
        <v>0</v>
      </c>
      <c r="F81" s="4">
        <f>SUMPRODUCT($B$41:$B$63*($A$41:$A$63&gt;=$B$8+E81)*($A$41:$A$63&lt;$B$8+E81+$B$7))</f>
        <v/>
      </c>
      <c r="G81" s="5">
        <f>(D81-C81*$B$5)*$B$15*F81-B81*$B$28-I81*B81*$B$9*F81</f>
        <v/>
      </c>
      <c r="H81" s="5">
        <f>(D81-C81*$B$5)*$C$15*F81-B81*($C$9/$B$9)*$B$28-I81*B81*$C$9*F81</f>
        <v/>
      </c>
      <c r="I81" s="4">
        <f>$B$16</f>
        <v/>
      </c>
      <c r="J81" s="5">
        <f>D81*$B$15-C81*$B$5*$B$15-B81*$B$9/$B$18</f>
        <v/>
      </c>
      <c r="K81" s="5">
        <f>IF($B$18&lt;$B$7,"n/a",G81-$B$17*MAX(0,J81)*F81)</f>
        <v/>
      </c>
      <c r="L81" s="5">
        <f>D81*$C$15-C81*$B$5*$C$15-B81*$C$9/$C$18</f>
        <v/>
      </c>
      <c r="M81" s="5">
        <f>IF($C$18&lt;$C$7,"n/a",H81-$B$17*MAX(0,L81)*F81)</f>
        <v/>
      </c>
      <c r="N81" t="inlineStr">
        <is>
          <t>Revenue +5%</t>
        </is>
      </c>
    </row>
    <row r="82">
      <c r="A82" t="inlineStr">
        <is>
          <t>Revenue -5%</t>
        </is>
      </c>
      <c r="B82" t="n">
        <v>1</v>
      </c>
      <c r="C82" t="n">
        <v>1</v>
      </c>
      <c r="D82" t="n">
        <v>0.95</v>
      </c>
      <c r="E82" t="n">
        <v>0</v>
      </c>
      <c r="F82" s="4">
        <f>SUMPRODUCT($B$41:$B$63*($A$41:$A$63&gt;=$B$8+E82)*($A$41:$A$63&lt;$B$8+E82+$B$7))</f>
        <v/>
      </c>
      <c r="G82" s="5">
        <f>(D82-C82*$B$5)*$B$15*F82-B82*$B$28-I82*B82*$B$9*F82</f>
        <v/>
      </c>
      <c r="H82" s="5">
        <f>(D82-C82*$B$5)*$C$15*F82-B82*($C$9/$B$9)*$B$28-I82*B82*$C$9*F82</f>
        <v/>
      </c>
      <c r="I82" s="4">
        <f>$B$16</f>
        <v/>
      </c>
      <c r="J82" s="5">
        <f>D82*$B$15-C82*$B$5*$B$15-B82*$B$9/$B$18</f>
        <v/>
      </c>
      <c r="K82" s="5">
        <f>IF($B$18&lt;$B$7,"n/a",G82-$B$17*MAX(0,J82)*F82)</f>
        <v/>
      </c>
      <c r="L82" s="5">
        <f>D82*$C$15-C82*$B$5*$C$15-B82*$C$9/$C$18</f>
        <v/>
      </c>
      <c r="M82" s="5">
        <f>IF($C$18&lt;$C$7,"n/a",H82-$B$17*MAX(0,L82)*F82)</f>
        <v/>
      </c>
      <c r="N82" t="inlineStr">
        <is>
          <t>Revenue -5%</t>
        </is>
      </c>
    </row>
    <row r="83">
      <c r="A83" t="inlineStr">
        <is>
          <t>Revenue +10%</t>
        </is>
      </c>
      <c r="B83" t="n">
        <v>1</v>
      </c>
      <c r="C83" t="n">
        <v>1</v>
      </c>
      <c r="D83" t="n">
        <v>1.1</v>
      </c>
      <c r="E83" t="n">
        <v>0</v>
      </c>
      <c r="F83" s="4">
        <f>SUMPRODUCT($B$41:$B$63*($A$41:$A$63&gt;=$B$8+E83)*($A$41:$A$63&lt;$B$8+E83+$B$7))</f>
        <v/>
      </c>
      <c r="G83" s="5">
        <f>(D83-C83*$B$5)*$B$15*F83-B83*$B$28-I83*B83*$B$9*F83</f>
        <v/>
      </c>
      <c r="H83" s="5">
        <f>(D83-C83*$B$5)*$C$15*F83-B83*($C$9/$B$9)*$B$28-I83*B83*$C$9*F83</f>
        <v/>
      </c>
      <c r="I83" s="4">
        <f>$B$16</f>
        <v/>
      </c>
      <c r="J83" s="5">
        <f>D83*$B$15-C83*$B$5*$B$15-B83*$B$9/$B$18</f>
        <v/>
      </c>
      <c r="K83" s="5">
        <f>IF($B$18&lt;$B$7,"n/a",G83-$B$17*MAX(0,J83)*F83)</f>
        <v/>
      </c>
      <c r="L83" s="5">
        <f>D83*$C$15-C83*$B$5*$C$15-B83*$C$9/$C$18</f>
        <v/>
      </c>
      <c r="M83" s="5">
        <f>IF($C$18&lt;$C$7,"n/a",H83-$B$17*MAX(0,L83)*F83)</f>
        <v/>
      </c>
      <c r="N83" t="inlineStr">
        <is>
          <t>Revenue +10%</t>
        </is>
      </c>
    </row>
    <row r="84">
      <c r="A84" t="inlineStr">
        <is>
          <t>Revenue -10%</t>
        </is>
      </c>
      <c r="B84" t="n">
        <v>1</v>
      </c>
      <c r="C84" t="n">
        <v>1</v>
      </c>
      <c r="D84" t="n">
        <v>0.9</v>
      </c>
      <c r="E84" t="n">
        <v>0</v>
      </c>
      <c r="F84" s="4">
        <f>SUMPRODUCT($B$41:$B$63*($A$41:$A$63&gt;=$B$8+E84)*($A$41:$A$63&lt;$B$8+E84+$B$7))</f>
        <v/>
      </c>
      <c r="G84" s="5">
        <f>(D84-C84*$B$5)*$B$15*F84-B84*$B$28-I84*B84*$B$9*F84</f>
        <v/>
      </c>
      <c r="H84" s="5">
        <f>(D84-C84*$B$5)*$C$15*F84-B84*($C$9/$B$9)*$B$28-I84*B84*$C$9*F84</f>
        <v/>
      </c>
      <c r="I84" s="4">
        <f>$B$16</f>
        <v/>
      </c>
      <c r="J84" s="5">
        <f>D84*$B$15-C84*$B$5*$B$15-B84*$B$9/$B$18</f>
        <v/>
      </c>
      <c r="K84" s="5">
        <f>IF($B$18&lt;$B$7,"n/a",G84-$B$17*MAX(0,J84)*F84)</f>
        <v/>
      </c>
      <c r="L84" s="5">
        <f>D84*$C$15-C84*$B$5*$C$15-B84*$C$9/$C$18</f>
        <v/>
      </c>
      <c r="M84" s="5">
        <f>IF($C$18&lt;$C$7,"n/a",H84-$B$17*MAX(0,L84)*F84)</f>
        <v/>
      </c>
      <c r="N84" t="inlineStr">
        <is>
          <t>Revenue -10%</t>
        </is>
      </c>
    </row>
    <row r="85">
      <c r="A85" t="inlineStr">
        <is>
          <t>Revenue +20%</t>
        </is>
      </c>
      <c r="B85" t="n">
        <v>1</v>
      </c>
      <c r="C85" t="n">
        <v>1</v>
      </c>
      <c r="D85" t="n">
        <v>1.2</v>
      </c>
      <c r="E85" t="n">
        <v>0</v>
      </c>
      <c r="F85" s="4">
        <f>SUMPRODUCT($B$41:$B$63*($A$41:$A$63&gt;=$B$8+E85)*($A$41:$A$63&lt;$B$8+E85+$B$7))</f>
        <v/>
      </c>
      <c r="G85" s="5">
        <f>(D85-C85*$B$5)*$B$15*F85-B85*$B$28-I85*B85*$B$9*F85</f>
        <v/>
      </c>
      <c r="H85" s="5">
        <f>(D85-C85*$B$5)*$C$15*F85-B85*($C$9/$B$9)*$B$28-I85*B85*$C$9*F85</f>
        <v/>
      </c>
      <c r="I85" s="4">
        <f>$B$16</f>
        <v/>
      </c>
      <c r="J85" s="5">
        <f>D85*$B$15-C85*$B$5*$B$15-B85*$B$9/$B$18</f>
        <v/>
      </c>
      <c r="K85" s="5">
        <f>IF($B$18&lt;$B$7,"n/a",G85-$B$17*MAX(0,J85)*F85)</f>
        <v/>
      </c>
      <c r="L85" s="5">
        <f>D85*$C$15-C85*$B$5*$C$15-B85*$C$9/$C$18</f>
        <v/>
      </c>
      <c r="M85" s="5">
        <f>IF($C$18&lt;$C$7,"n/a",H85-$B$17*MAX(0,L85)*F85)</f>
        <v/>
      </c>
      <c r="N85" t="inlineStr">
        <is>
          <t>Revenue +20%</t>
        </is>
      </c>
    </row>
    <row r="86">
      <c r="A86" t="inlineStr">
        <is>
          <t>Revenue -20%</t>
        </is>
      </c>
      <c r="B86" t="n">
        <v>1</v>
      </c>
      <c r="C86" t="n">
        <v>1</v>
      </c>
      <c r="D86" t="n">
        <v>0.8</v>
      </c>
      <c r="E86" t="n">
        <v>0</v>
      </c>
      <c r="F86" s="4">
        <f>SUMPRODUCT($B$41:$B$63*($A$41:$A$63&gt;=$B$8+E86)*($A$41:$A$63&lt;$B$8+E86+$B$7))</f>
        <v/>
      </c>
      <c r="G86" s="5">
        <f>(D86-C86*$B$5)*$B$15*F86-B86*$B$28-I86*B86*$B$9*F86</f>
        <v/>
      </c>
      <c r="H86" s="5">
        <f>(D86-C86*$B$5)*$C$15*F86-B86*($C$9/$B$9)*$B$28-I86*B86*$C$9*F86</f>
        <v/>
      </c>
      <c r="I86" s="4">
        <f>$B$16</f>
        <v/>
      </c>
      <c r="J86" s="5">
        <f>D86*$B$15-C86*$B$5*$B$15-B86*$B$9/$B$18</f>
        <v/>
      </c>
      <c r="K86" s="5">
        <f>IF($B$18&lt;$B$7,"n/a",G86-$B$17*MAX(0,J86)*F86)</f>
        <v/>
      </c>
      <c r="L86" s="5">
        <f>D86*$C$15-C86*$B$5*$C$15-B86*$C$9/$C$18</f>
        <v/>
      </c>
      <c r="M86" s="5">
        <f>IF($C$18&lt;$C$7,"n/a",H86-$B$17*MAX(0,L86)*F86)</f>
        <v/>
      </c>
      <c r="N86" t="inlineStr">
        <is>
          <t>Revenue -20%</t>
        </is>
      </c>
    </row>
    <row r="87">
      <c r="A87" t="inlineStr">
        <is>
          <t>Cost +5%, revenue -5%</t>
        </is>
      </c>
      <c r="B87" t="n">
        <v>1.05</v>
      </c>
      <c r="C87" t="n">
        <v>1</v>
      </c>
      <c r="D87" t="n">
        <v>0.95</v>
      </c>
      <c r="E87" t="n">
        <v>0</v>
      </c>
      <c r="F87" s="4">
        <f>SUMPRODUCT($B$41:$B$63*($A$41:$A$63&gt;=$B$8+E87)*($A$41:$A$63&lt;$B$8+E87+$B$7))</f>
        <v/>
      </c>
      <c r="G87" s="5">
        <f>(D87-C87*$B$5)*$B$15*F87-B87*$B$28-I87*B87*$B$9*F87</f>
        <v/>
      </c>
      <c r="H87" s="5">
        <f>(D87-C87*$B$5)*$C$15*F87-B87*($C$9/$B$9)*$B$28-I87*B87*$C$9*F87</f>
        <v/>
      </c>
      <c r="I87" s="4">
        <f>$B$16</f>
        <v/>
      </c>
      <c r="J87" s="5">
        <f>D87*$B$15-C87*$B$5*$B$15-B87*$B$9/$B$18</f>
        <v/>
      </c>
      <c r="K87" s="5">
        <f>IF($B$18&lt;$B$7,"n/a",G87-$B$17*MAX(0,J87)*F87)</f>
        <v/>
      </c>
      <c r="L87" s="5">
        <f>D87*$C$15-C87*$B$5*$C$15-B87*$C$9/$C$18</f>
        <v/>
      </c>
      <c r="M87" s="5">
        <f>IF($C$18&lt;$C$7,"n/a",H87-$B$17*MAX(0,L87)*F87)</f>
        <v/>
      </c>
      <c r="N87" t="inlineStr">
        <is>
          <t>Cost +5%, revenue -5%</t>
        </is>
      </c>
    </row>
    <row r="88">
      <c r="A88" t="inlineStr">
        <is>
          <t>Cost -5%, revenue +5%</t>
        </is>
      </c>
      <c r="B88" t="n">
        <v>0.95</v>
      </c>
      <c r="C88" t="n">
        <v>1</v>
      </c>
      <c r="D88" t="n">
        <v>1.05</v>
      </c>
      <c r="E88" t="n">
        <v>0</v>
      </c>
      <c r="F88" s="4">
        <f>SUMPRODUCT($B$41:$B$63*($A$41:$A$63&gt;=$B$8+E88)*($A$41:$A$63&lt;$B$8+E88+$B$7))</f>
        <v/>
      </c>
      <c r="G88" s="5">
        <f>(D88-C88*$B$5)*$B$15*F88-B88*$B$28-I88*B88*$B$9*F88</f>
        <v/>
      </c>
      <c r="H88" s="5">
        <f>(D88-C88*$B$5)*$C$15*F88-B88*($C$9/$B$9)*$B$28-I88*B88*$C$9*F88</f>
        <v/>
      </c>
      <c r="I88" s="4">
        <f>$B$16</f>
        <v/>
      </c>
      <c r="J88" s="5">
        <f>D88*$B$15-C88*$B$5*$B$15-B88*$B$9/$B$18</f>
        <v/>
      </c>
      <c r="K88" s="5">
        <f>IF($B$18&lt;$B$7,"n/a",G88-$B$17*MAX(0,J88)*F88)</f>
        <v/>
      </c>
      <c r="L88" s="5">
        <f>D88*$C$15-C88*$B$5*$C$15-B88*$C$9/$C$18</f>
        <v/>
      </c>
      <c r="M88" s="5">
        <f>IF($C$18&lt;$C$7,"n/a",H88-$B$17*MAX(0,L88)*F88)</f>
        <v/>
      </c>
      <c r="N88" t="inlineStr">
        <is>
          <t>Cost -5%, revenue +5%</t>
        </is>
      </c>
    </row>
    <row r="89">
      <c r="A89" t="inlineStr">
        <is>
          <t>Cost +10%, revenue -10%</t>
        </is>
      </c>
      <c r="B89" t="n">
        <v>1.1</v>
      </c>
      <c r="C89" t="n">
        <v>1</v>
      </c>
      <c r="D89" t="n">
        <v>0.9</v>
      </c>
      <c r="E89" t="n">
        <v>0</v>
      </c>
      <c r="F89" s="4">
        <f>SUMPRODUCT($B$41:$B$63*($A$41:$A$63&gt;=$B$8+E89)*($A$41:$A$63&lt;$B$8+E89+$B$7))</f>
        <v/>
      </c>
      <c r="G89" s="5">
        <f>(D89-C89*$B$5)*$B$15*F89-B89*$B$28-I89*B89*$B$9*F89</f>
        <v/>
      </c>
      <c r="H89" s="5">
        <f>(D89-C89*$B$5)*$C$15*F89-B89*($C$9/$B$9)*$B$28-I89*B89*$C$9*F89</f>
        <v/>
      </c>
      <c r="I89" s="4">
        <f>$B$16</f>
        <v/>
      </c>
      <c r="J89" s="5">
        <f>D89*$B$15-C89*$B$5*$B$15-B89*$B$9/$B$18</f>
        <v/>
      </c>
      <c r="K89" s="5">
        <f>IF($B$18&lt;$B$7,"n/a",G89-$B$17*MAX(0,J89)*F89)</f>
        <v/>
      </c>
      <c r="L89" s="5">
        <f>D89*$C$15-C89*$B$5*$C$15-B89*$C$9/$C$18</f>
        <v/>
      </c>
      <c r="M89" s="5">
        <f>IF($C$18&lt;$C$7,"n/a",H89-$B$17*MAX(0,L89)*F89)</f>
        <v/>
      </c>
      <c r="N89" t="inlineStr">
        <is>
          <t>Cost +10%, revenue -10%</t>
        </is>
      </c>
    </row>
    <row r="90">
      <c r="A90" t="inlineStr">
        <is>
          <t>Cost -10%, revenue +10%</t>
        </is>
      </c>
      <c r="B90" t="n">
        <v>0.9</v>
      </c>
      <c r="C90" t="n">
        <v>1</v>
      </c>
      <c r="D90" t="n">
        <v>1.1</v>
      </c>
      <c r="E90" t="n">
        <v>0</v>
      </c>
      <c r="F90" s="4">
        <f>SUMPRODUCT($B$41:$B$63*($A$41:$A$63&gt;=$B$8+E90)*($A$41:$A$63&lt;$B$8+E90+$B$7))</f>
        <v/>
      </c>
      <c r="G90" s="5">
        <f>(D90-C90*$B$5)*$B$15*F90-B90*$B$28-I90*B90*$B$9*F90</f>
        <v/>
      </c>
      <c r="H90" s="5">
        <f>(D90-C90*$B$5)*$C$15*F90-B90*($C$9/$B$9)*$B$28-I90*B90*$C$9*F90</f>
        <v/>
      </c>
      <c r="I90" s="4">
        <f>$B$16</f>
        <v/>
      </c>
      <c r="J90" s="5">
        <f>D90*$B$15-C90*$B$5*$B$15-B90*$B$9/$B$18</f>
        <v/>
      </c>
      <c r="K90" s="5">
        <f>IF($B$18&lt;$B$7,"n/a",G90-$B$17*MAX(0,J90)*F90)</f>
        <v/>
      </c>
      <c r="L90" s="5">
        <f>D90*$C$15-C90*$B$5*$C$15-B90*$C$9/$C$18</f>
        <v/>
      </c>
      <c r="M90" s="5">
        <f>IF($C$18&lt;$C$7,"n/a",H90-$B$17*MAX(0,L90)*F90)</f>
        <v/>
      </c>
      <c r="N90" t="inlineStr">
        <is>
          <t>Cost -10%, revenue +10%</t>
        </is>
      </c>
    </row>
    <row r="91">
      <c r="A91" t="inlineStr">
        <is>
          <t>Cost +20%, revenue -20%</t>
        </is>
      </c>
      <c r="B91" t="n">
        <v>1.2</v>
      </c>
      <c r="C91" t="n">
        <v>1</v>
      </c>
      <c r="D91" t="n">
        <v>0.8</v>
      </c>
      <c r="E91" t="n">
        <v>0</v>
      </c>
      <c r="F91" s="4">
        <f>SUMPRODUCT($B$41:$B$63*($A$41:$A$63&gt;=$B$8+E91)*($A$41:$A$63&lt;$B$8+E91+$B$7))</f>
        <v/>
      </c>
      <c r="G91" s="5">
        <f>(D91-C91*$B$5)*$B$15*F91-B91*$B$28-I91*B91*$B$9*F91</f>
        <v/>
      </c>
      <c r="H91" s="5">
        <f>(D91-C91*$B$5)*$C$15*F91-B91*($C$9/$B$9)*$B$28-I91*B91*$C$9*F91</f>
        <v/>
      </c>
      <c r="I91" s="4">
        <f>$B$16</f>
        <v/>
      </c>
      <c r="J91" s="5">
        <f>D91*$B$15-C91*$B$5*$B$15-B91*$B$9/$B$18</f>
        <v/>
      </c>
      <c r="K91" s="5">
        <f>IF($B$18&lt;$B$7,"n/a",G91-$B$17*MAX(0,J91)*F91)</f>
        <v/>
      </c>
      <c r="L91" s="5">
        <f>D91*$C$15-C91*$B$5*$C$15-B91*$C$9/$C$18</f>
        <v/>
      </c>
      <c r="M91" s="5">
        <f>IF($C$18&lt;$C$7,"n/a",H91-$B$17*MAX(0,L91)*F91)</f>
        <v/>
      </c>
      <c r="N91" t="inlineStr">
        <is>
          <t>Cost +20%, revenue -20%</t>
        </is>
      </c>
    </row>
    <row r="92">
      <c r="A92" t="inlineStr">
        <is>
          <t>Cost -20%, revenue +20%</t>
        </is>
      </c>
      <c r="B92" t="n">
        <v>0.8</v>
      </c>
      <c r="C92" t="n">
        <v>1</v>
      </c>
      <c r="D92" t="n">
        <v>1.2</v>
      </c>
      <c r="E92" t="n">
        <v>0</v>
      </c>
      <c r="F92" s="4">
        <f>SUMPRODUCT($B$41:$B$63*($A$41:$A$63&gt;=$B$8+E92)*($A$41:$A$63&lt;$B$8+E92+$B$7))</f>
        <v/>
      </c>
      <c r="G92" s="5">
        <f>(D92-C92*$B$5)*$B$15*F92-B92*$B$28-I92*B92*$B$9*F92</f>
        <v/>
      </c>
      <c r="H92" s="5">
        <f>(D92-C92*$B$5)*$C$15*F92-B92*($C$9/$B$9)*$B$28-I92*B92*$C$9*F92</f>
        <v/>
      </c>
      <c r="I92" s="4">
        <f>$B$16</f>
        <v/>
      </c>
      <c r="J92" s="5">
        <f>D92*$B$15-C92*$B$5*$B$15-B92*$B$9/$B$18</f>
        <v/>
      </c>
      <c r="K92" s="5">
        <f>IF($B$18&lt;$B$7,"n/a",G92-$B$17*MAX(0,J92)*F92)</f>
        <v/>
      </c>
      <c r="L92" s="5">
        <f>D92*$C$15-C92*$B$5*$C$15-B92*$C$9/$C$18</f>
        <v/>
      </c>
      <c r="M92" s="5">
        <f>IF($C$18&lt;$C$7,"n/a",H92-$B$17*MAX(0,L92)*F92)</f>
        <v/>
      </c>
      <c r="N92" t="inlineStr">
        <is>
          <t>Cost -20%, revenue +20%</t>
        </is>
      </c>
    </row>
    <row r="93">
      <c r="A93" t="inlineStr">
        <is>
          <t>One-year opening delay</t>
        </is>
      </c>
      <c r="B93" t="n">
        <v>1</v>
      </c>
      <c r="C93" t="n">
        <v>1</v>
      </c>
      <c r="D93" t="n">
        <v>1</v>
      </c>
      <c r="E93" t="n">
        <v>1</v>
      </c>
      <c r="F93" s="4">
        <f>SUMPRODUCT($B$41:$B$63*($A$41:$A$63&gt;=$B$8+E93)*($A$41:$A$63&lt;$B$8+E93+$B$7))</f>
        <v/>
      </c>
      <c r="G93" s="5">
        <f>(D93-C93*$B$5)*$B$15*F93-B93*$B$28-I93*B93*$B$9*F93</f>
        <v/>
      </c>
      <c r="H93" s="5">
        <f>(D93-C93*$B$5)*$C$15*F93-B93*($C$9/$B$9)*$B$28-I93*B93*$C$9*F93</f>
        <v/>
      </c>
      <c r="I93" s="4">
        <f>$B$16</f>
        <v/>
      </c>
      <c r="J93" s="5">
        <f>D93*$B$15-C93*$B$5*$B$15-B93*$B$9/$B$18</f>
        <v/>
      </c>
      <c r="K93" s="5">
        <f>IF($B$18&lt;$B$7,"n/a",G93-$B$17*MAX(0,J93)*F93)</f>
        <v/>
      </c>
      <c r="L93" s="5">
        <f>D93*$C$15-C93*$B$5*$C$15-B93*$C$9/$C$18</f>
        <v/>
      </c>
      <c r="M93" s="5">
        <f>IF($C$18&lt;$C$7,"n/a",H93-$B$17*MAX(0,L93)*F93)</f>
        <v/>
      </c>
      <c r="N93" t="inlineStr">
        <is>
          <t>One-year opening delay</t>
        </is>
      </c>
    </row>
    <row r="94">
      <c r="A94" t="inlineStr">
        <is>
          <t>Replacement at HK depreciation share</t>
        </is>
      </c>
      <c r="B94" t="n">
        <v>1</v>
      </c>
      <c r="C94" t="n">
        <v>1</v>
      </c>
      <c r="D94" t="n">
        <v>1</v>
      </c>
      <c r="E94" t="n">
        <v>0</v>
      </c>
      <c r="F94" s="4">
        <f>SUMPRODUCT($B$41:$B$63*($A$41:$A$63&gt;=$B$8+E94)*($A$41:$A$63&lt;$B$8+E94+$B$7))</f>
        <v/>
      </c>
      <c r="G94" s="5">
        <f>(D94-C94*$B$5)*$B$15*F94-B94*$B$28-I94*B94*$B$9*F94</f>
        <v/>
      </c>
      <c r="H94" s="5">
        <f>(D94-C94*$B$5)*$C$15*F94-B94*($C$9/$B$9)*$B$28-I94*B94*$C$9*F94</f>
        <v/>
      </c>
      <c r="I94" s="4">
        <f>Inputs!$C$166</f>
        <v/>
      </c>
      <c r="J94" s="5">
        <f>D94*$B$15-C94*$B$5*$B$15-B94*$B$9/$B$18</f>
        <v/>
      </c>
      <c r="K94" s="5">
        <f>IF($B$18&lt;$B$7,"n/a",G94-$B$17*MAX(0,J94)*F94)</f>
        <v/>
      </c>
      <c r="L94" s="5">
        <f>D94*$C$15-C94*$B$5*$C$15-B94*$C$9/$C$18</f>
        <v/>
      </c>
      <c r="M94" s="5">
        <f>IF($C$18&lt;$C$7,"n/a",H94-$B$17*MAX(0,L94)*F94)</f>
        <v/>
      </c>
      <c r="N94" t="inlineStr">
        <is>
          <t>Replacement at HK depreciation share</t>
        </is>
      </c>
    </row>
    <row r="101">
      <c r="A101" s="1" t="inlineStr">
        <is>
          <t>Scenarios (NPV before tax, THB bn)</t>
        </is>
      </c>
    </row>
    <row r="102">
      <c r="A102" s="7" t="inlineStr">
        <is>
          <t>Scenario</t>
        </is>
      </c>
      <c r="B102" s="7" t="inlineStr">
        <is>
          <t>WACC</t>
        </is>
      </c>
      <c r="C102" s="7" t="inlineStr">
        <is>
          <t>Operating life (years)</t>
        </is>
      </c>
      <c r="D102" s="7" t="inlineStr">
        <is>
          <t>On-site income (1 = yes)</t>
        </is>
      </c>
      <c r="E102" s="7" t="inlineStr">
        <is>
          <t>Replacement share</t>
        </is>
      </c>
      <c r="F102" s="7" t="inlineStr">
        <is>
          <t>Revenue (THB bn a year)</t>
        </is>
      </c>
      <c r="G102" s="7" t="inlineStr">
        <is>
          <t>Annuity factor</t>
        </is>
      </c>
      <c r="H102" s="7" t="inlineStr">
        <is>
          <t>Capital present value</t>
        </is>
      </c>
      <c r="I102" s="7" t="inlineStr">
        <is>
          <t>NPV before tax (THB bn)</t>
        </is>
      </c>
    </row>
    <row r="103">
      <c r="A103" t="inlineStr">
        <is>
          <t>Park-only, ticket and on-site revenue</t>
        </is>
      </c>
      <c r="B103" s="6">
        <f>B6</f>
        <v/>
      </c>
      <c r="C103">
        <f>B7</f>
        <v/>
      </c>
      <c r="D103">
        <f>$B$19</f>
        <v/>
      </c>
      <c r="E103" s="4">
        <f>B16</f>
        <v/>
      </c>
      <c r="F103" s="5">
        <f>$B$14*$B$13/1000+D103*$B$14*Inputs!$D$148/1000</f>
        <v/>
      </c>
      <c r="G103" s="4">
        <f>(1+B103)^(-$B$8)*(1-(1+B103)^(-C103))/(1-1/(1+B103))</f>
        <v/>
      </c>
      <c r="H103" s="5">
        <f>($B$9/$B$8)*(1-(1+B103)^(-$B$8))/(1-1/(1+B103))</f>
        <v/>
      </c>
      <c r="I103" s="5">
        <f>(F103*(1-$B$5)-E103*$B$9)*G103-H103</f>
        <v/>
      </c>
    </row>
    <row r="104">
      <c r="A104" t="inlineStr">
        <is>
          <t>Ticket revenue only</t>
        </is>
      </c>
      <c r="B104" s="6">
        <f>B6</f>
        <v/>
      </c>
      <c r="C104">
        <f>B7</f>
        <v/>
      </c>
      <c r="D104" t="n">
        <v>0</v>
      </c>
      <c r="E104" s="4">
        <f>B16</f>
        <v/>
      </c>
      <c r="F104" s="5">
        <f>$B$14*$B$13/1000+D104*$B$14*Inputs!$D$148/1000</f>
        <v/>
      </c>
      <c r="G104" s="4">
        <f>(1+B104)^(-$B$8)*(1-(1+B104)^(-C104))/(1-1/(1+B104))</f>
        <v/>
      </c>
      <c r="H104" s="5">
        <f>($B$9/$B$8)*(1-(1+B104)^(-$B$8))/(1-1/(1+B104))</f>
        <v/>
      </c>
      <c r="I104" s="5">
        <f>(F104*(1-$B$5)-E104*$B$9)*G104-H104</f>
        <v/>
      </c>
    </row>
    <row r="105">
      <c r="A105" t="inlineStr">
        <is>
          <t>Operating life 30 years</t>
        </is>
      </c>
      <c r="B105" s="6">
        <f>B6</f>
        <v/>
      </c>
      <c r="C105" t="n">
        <v>30</v>
      </c>
      <c r="D105">
        <f>$B$19</f>
        <v/>
      </c>
      <c r="E105" s="4">
        <f>B16</f>
        <v/>
      </c>
      <c r="F105" s="5">
        <f>$B$14*$B$13/1000+D105*$B$14*Inputs!$D$148/1000</f>
        <v/>
      </c>
      <c r="G105" s="4">
        <f>(1+B105)^(-$B$8)*(1-(1+B105)^(-C105))/(1-1/(1+B105))</f>
        <v/>
      </c>
      <c r="H105" s="5">
        <f>($B$9/$B$8)*(1-(1+B105)^(-$B$8))/(1-1/(1+B105))</f>
        <v/>
      </c>
      <c r="I105" s="5">
        <f>(F105*(1-$B$5)-E105*$B$9)*G105-H105</f>
        <v/>
      </c>
    </row>
    <row r="106">
      <c r="A106" t="inlineStr">
        <is>
          <t>Operating life 40 years</t>
        </is>
      </c>
      <c r="B106" s="6">
        <f>B6</f>
        <v/>
      </c>
      <c r="C106" t="n">
        <v>40</v>
      </c>
      <c r="D106">
        <f>$B$19</f>
        <v/>
      </c>
      <c r="E106" s="4">
        <f>B16</f>
        <v/>
      </c>
      <c r="F106" s="5">
        <f>$B$14*$B$13/1000+D106*$B$14*Inputs!$D$148/1000</f>
        <v/>
      </c>
      <c r="G106" s="4">
        <f>(1+B106)^(-$B$8)*(1-(1+B106)^(-C106))/(1-1/(1+B106))</f>
        <v/>
      </c>
      <c r="H106" s="5">
        <f>($B$9/$B$8)*(1-(1+B106)^(-$B$8))/(1-1/(1+B106))</f>
        <v/>
      </c>
      <c r="I106" s="5">
        <f>(F106*(1-$B$5)-E106*$B$9)*G106-H106</f>
        <v/>
      </c>
    </row>
    <row r="107">
      <c r="A107" t="inlineStr">
        <is>
          <t>WACC 6%</t>
        </is>
      </c>
      <c r="B107" s="6" t="n">
        <v>0.06</v>
      </c>
      <c r="C107">
        <f>B7</f>
        <v/>
      </c>
      <c r="D107">
        <f>$B$19</f>
        <v/>
      </c>
      <c r="E107" s="4">
        <f>B16</f>
        <v/>
      </c>
      <c r="F107" s="5">
        <f>$B$14*$B$13/1000+D107*$B$14*Inputs!$D$148/1000</f>
        <v/>
      </c>
      <c r="G107" s="4">
        <f>(1+B107)^(-$B$8)*(1-(1+B107)^(-C107))/(1-1/(1+B107))</f>
        <v/>
      </c>
      <c r="H107" s="5">
        <f>($B$9/$B$8)*(1-(1+B107)^(-$B$8))/(1-1/(1+B107))</f>
        <v/>
      </c>
      <c r="I107" s="5">
        <f>(F107*(1-$B$5)-E107*$B$9)*G107-H107</f>
        <v/>
      </c>
    </row>
    <row r="108">
      <c r="A108" t="inlineStr">
        <is>
          <t>WACC 7%</t>
        </is>
      </c>
      <c r="B108" s="6" t="n">
        <v>0.07000000000000001</v>
      </c>
      <c r="C108">
        <f>B7</f>
        <v/>
      </c>
      <c r="D108">
        <f>$B$19</f>
        <v/>
      </c>
      <c r="E108" s="4">
        <f>B16</f>
        <v/>
      </c>
      <c r="F108" s="5">
        <f>$B$14*$B$13/1000+D108*$B$14*Inputs!$D$148/1000</f>
        <v/>
      </c>
      <c r="G108" s="4">
        <f>(1+B108)^(-$B$8)*(1-(1+B108)^(-C108))/(1-1/(1+B108))</f>
        <v/>
      </c>
      <c r="H108" s="5">
        <f>($B$9/$B$8)*(1-(1+B108)^(-$B$8))/(1-1/(1+B108))</f>
        <v/>
      </c>
      <c r="I108" s="5">
        <f>(F108*(1-$B$5)-E108*$B$9)*G108-H108</f>
        <v/>
      </c>
    </row>
    <row r="109">
      <c r="A109" t="inlineStr">
        <is>
          <t>WACC 10%</t>
        </is>
      </c>
      <c r="B109" s="6" t="n">
        <v>0.1</v>
      </c>
      <c r="C109">
        <f>B7</f>
        <v/>
      </c>
      <c r="D109">
        <f>$B$19</f>
        <v/>
      </c>
      <c r="E109" s="4">
        <f>B16</f>
        <v/>
      </c>
      <c r="F109" s="5">
        <f>$B$14*$B$13/1000+D109*$B$14*Inputs!$D$148/1000</f>
        <v/>
      </c>
      <c r="G109" s="4">
        <f>(1+B109)^(-$B$8)*(1-(1+B109)^(-C109))/(1-1/(1+B109))</f>
        <v/>
      </c>
      <c r="H109" s="5">
        <f>($B$9/$B$8)*(1-(1+B109)^(-$B$8))/(1-1/(1+B109))</f>
        <v/>
      </c>
      <c r="I109" s="5">
        <f>(F109*(1-$B$5)-E109*$B$9)*G109-H109</f>
        <v/>
      </c>
    </row>
    <row r="110">
      <c r="A110" t="inlineStr">
        <is>
          <t>Replacement at Hong Kong depreciation share</t>
        </is>
      </c>
      <c r="B110" s="6">
        <f>B6</f>
        <v/>
      </c>
      <c r="C110">
        <f>B7</f>
        <v/>
      </c>
      <c r="D110">
        <f>$B$19</f>
        <v/>
      </c>
      <c r="E110" s="4">
        <f>Inputs!$C$166</f>
        <v/>
      </c>
      <c r="F110" s="5">
        <f>$B$14*$B$13/1000+D110*$B$14*Inputs!$D$148/1000</f>
        <v/>
      </c>
      <c r="G110" s="4">
        <f>(1+B110)^(-$B$8)*(1-(1+B110)^(-C110))/(1-1/(1+B110))</f>
        <v/>
      </c>
      <c r="H110" s="5">
        <f>($B$9/$B$8)*(1-(1+B110)^(-$B$8))/(1-1/(1+B110))</f>
        <v/>
      </c>
      <c r="I110" s="5">
        <f>(F110*(1-$B$5)-E110*$B$9)*G110-H110</f>
        <v/>
      </c>
    </row>
    <row r="111">
      <c r="A111" t="inlineStr">
        <is>
          <t>Operating life 30 years, replacement at HK share</t>
        </is>
      </c>
      <c r="B111" s="6">
        <f>B6</f>
        <v/>
      </c>
      <c r="C111" t="n">
        <v>30</v>
      </c>
      <c r="D111">
        <f>$B$19</f>
        <v/>
      </c>
      <c r="E111" s="4">
        <f>Inputs!$C$166</f>
        <v/>
      </c>
      <c r="F111" s="5">
        <f>$B$14*$B$13/1000+D111*$B$14*Inputs!$D$148/1000</f>
        <v/>
      </c>
      <c r="G111" s="4">
        <f>(1+B111)^(-$B$8)*(1-(1+B111)^(-C111))/(1-1/(1+B111))</f>
        <v/>
      </c>
      <c r="H111" s="5">
        <f>($B$9/$B$8)*(1-(1+B111)^(-$B$8))/(1-1/(1+B111))</f>
        <v/>
      </c>
      <c r="I111" s="5">
        <f>(F111*(1-$B$5)-E111*$B$9)*G111-H111</f>
        <v/>
      </c>
    </row>
    <row r="112">
      <c r="A112" t="inlineStr">
        <is>
          <t>Ticket revenue only, replacement at HK share</t>
        </is>
      </c>
      <c r="B112" s="6">
        <f>B6</f>
        <v/>
      </c>
      <c r="C112">
        <f>B7</f>
        <v/>
      </c>
      <c r="D112" t="n">
        <v>0</v>
      </c>
      <c r="E112" s="4">
        <f>Inputs!$C$166</f>
        <v/>
      </c>
      <c r="F112" s="5">
        <f>$B$14*$B$13/1000+D112*$B$14*Inputs!$D$148/1000</f>
        <v/>
      </c>
      <c r="G112" s="4">
        <f>(1+B112)^(-$B$8)*(1-(1+B112)^(-C112))/(1-1/(1+B112))</f>
        <v/>
      </c>
      <c r="H112" s="5">
        <f>($B$9/$B$8)*(1-(1+B112)^(-$B$8))/(1-1/(1+B112))</f>
        <v/>
      </c>
      <c r="I112" s="5">
        <f>(F112*(1-$B$5)-E112*$B$9)*G112-H112</f>
        <v/>
      </c>
    </row>
    <row r="113">
      <c r="A113" t="inlineStr">
        <is>
          <t>Ticket revenue only, life 30 years, replacement at HK share</t>
        </is>
      </c>
      <c r="B113" s="6">
        <f>B6</f>
        <v/>
      </c>
      <c r="C113" t="n">
        <v>30</v>
      </c>
      <c r="D113" t="n">
        <v>0</v>
      </c>
      <c r="E113" s="4">
        <f>Inputs!$C$166</f>
        <v/>
      </c>
      <c r="F113" s="5">
        <f>$B$14*$B$13/1000+D113*$B$14*Inputs!$D$148/1000</f>
        <v/>
      </c>
      <c r="G113" s="4">
        <f>(1+B113)^(-$B$8)*(1-(1+B113)^(-C113))/(1-1/(1+B113))</f>
        <v/>
      </c>
      <c r="H113" s="5">
        <f>($B$9/$B$8)*(1-(1+B113)^(-$B$8))/(1-1/(1+B113))</f>
        <v/>
      </c>
      <c r="I113" s="5">
        <f>(F113*(1-$B$5)-E113*$B$9)*G113-H113</f>
        <v/>
      </c>
    </row>
    <row r="118">
      <c r="A118" s="1" t="inlineStr">
        <is>
          <t>Two-way sensitivity: NPV before tax (THB bn), capital cost by cash operating cost share</t>
        </is>
      </c>
    </row>
    <row r="119">
      <c r="A119" s="1" t="inlineStr">
        <is>
          <t>Capital cost (THB bn) / cost share</t>
        </is>
      </c>
      <c r="B119" s="4" t="n">
        <v>0.7</v>
      </c>
      <c r="C119" s="4">
        <f>B5</f>
        <v/>
      </c>
      <c r="D119" s="4">
        <f>Inputs!$C$151</f>
        <v/>
      </c>
    </row>
    <row r="120">
      <c r="A120" t="n">
        <v>150</v>
      </c>
      <c r="B120" s="5">
        <f>$B$15*(1-B$119)*$B$27-$A120*($B$28/$B$9)-$B$16*$A120*$B$27</f>
        <v/>
      </c>
      <c r="C120" s="5">
        <f>$B$15*(1-C$119)*$B$27-$A120*($B$28/$B$9)-$B$16*$A120*$B$27</f>
        <v/>
      </c>
      <c r="D120" s="5">
        <f>$B$15*(1-D$119)*$B$27-$A120*($B$28/$B$9)-$B$16*$A120*$B$27</f>
        <v/>
      </c>
    </row>
    <row r="121">
      <c r="A121" t="n">
        <v>200</v>
      </c>
      <c r="B121" s="5">
        <f>$B$15*(1-B$119)*$B$27-$A121*($B$28/$B$9)-$B$16*$A121*$B$27</f>
        <v/>
      </c>
      <c r="C121" s="5">
        <f>$B$15*(1-C$119)*$B$27-$A121*($B$28/$B$9)-$B$16*$A121*$B$27</f>
        <v/>
      </c>
      <c r="D121" s="5">
        <f>$B$15*(1-D$119)*$B$27-$A121*($B$28/$B$9)-$B$16*$A121*$B$27</f>
        <v/>
      </c>
    </row>
    <row r="122">
      <c r="A122" t="n">
        <v>250</v>
      </c>
      <c r="B122" s="5">
        <f>$B$15*(1-B$119)*$B$27-$A122*($B$28/$B$9)-$B$16*$A122*$B$27</f>
        <v/>
      </c>
      <c r="C122" s="5">
        <f>$B$15*(1-C$119)*$B$27-$A122*($B$28/$B$9)-$B$16*$A122*$B$27</f>
        <v/>
      </c>
      <c r="D122" s="5">
        <f>$B$15*(1-D$119)*$B$27-$A122*($B$28/$B$9)-$B$16*$A122*$B$27</f>
        <v/>
      </c>
    </row>
    <row r="123">
      <c r="A123" t="n">
        <v>300</v>
      </c>
      <c r="B123" s="5">
        <f>$B$15*(1-B$119)*$B$27-$A123*($B$28/$B$9)-$B$16*$A123*$B$27</f>
        <v/>
      </c>
      <c r="C123" s="5">
        <f>$B$15*(1-C$119)*$B$27-$A123*($B$28/$B$9)-$B$16*$A123*$B$27</f>
        <v/>
      </c>
      <c r="D123" s="5">
        <f>$B$15*(1-D$119)*$B$27-$A123*($B$28/$B$9)-$B$16*$A123*$B$27</f>
        <v/>
      </c>
    </row>
    <row r="126">
      <c r="A126" s="1" t="inlineStr">
        <is>
          <t>Attendance benchmarks (million visits a year)</t>
        </is>
      </c>
    </row>
    <row r="127">
      <c r="A127" s="1" t="inlineStr">
        <is>
          <t>Park</t>
        </is>
      </c>
      <c r="B127" s="1" t="inlineStr">
        <is>
          <t>Attendance (million)</t>
        </is>
      </c>
      <c r="C127" s="1" t="inlineStr">
        <is>
          <t>Year</t>
        </is>
      </c>
      <c r="D127" s="1" t="inlineStr">
        <is>
          <t>Source</t>
        </is>
      </c>
    </row>
    <row r="128">
      <c r="A128" t="inlineStr">
        <is>
          <t>Magic Kingdom (Walt Disney World)</t>
        </is>
      </c>
      <c r="B128" t="n">
        <v>17.8</v>
      </c>
      <c r="C128" t="inlineStr">
        <is>
          <t>2024</t>
        </is>
      </c>
      <c r="D128" t="inlineStr">
        <is>
          <t>TEA/AECOM ranking, reported by Disney Food Blog, 23 October 2025: https://disneyfoodblog.com/2025/10/23/magic-kingdom-is-the-1-most-visited-theme-park-in-the-world-but-the-rest-of-the-list-may-surprise-you</t>
        </is>
      </c>
    </row>
    <row r="129">
      <c r="A129" t="inlineStr">
        <is>
          <t>Disneyland Park (California)</t>
        </is>
      </c>
      <c r="B129" t="n">
        <v>17.3</v>
      </c>
      <c r="C129" t="inlineStr">
        <is>
          <t>2024</t>
        </is>
      </c>
      <c r="D129" t="inlineStr">
        <is>
          <t>TEA/AECOM ranking, summarised by BGT Safari, 11 November 2025: https://bgtsafari.com/2025/11/11/the-tea-rankings-are-out-of-for-the-top-25-theme-parks-worldwide-and-almost-half-are-in-asia/</t>
        </is>
      </c>
    </row>
    <row r="130">
      <c r="A130" t="inlineStr">
        <is>
          <t>Hong Kong Disneyland</t>
        </is>
      </c>
      <c r="B130">
        <f>Inputs!$C$83</f>
        <v/>
      </c>
      <c r="C130" t="inlineStr">
        <is>
          <t>FY2025</t>
        </is>
      </c>
      <c r="D130" t="inlineStr">
        <is>
          <t>Hong Kong Disneyland press release, 28 April 2026: https://news.hongkongdisneyland.com/en/press/2026-04-28/</t>
        </is>
      </c>
    </row>
    <row r="131">
      <c r="A131" t="inlineStr">
        <is>
          <t>Shanghai Disneyland (approximate)</t>
        </is>
      </c>
      <c r="B131" t="n">
        <v>14</v>
      </c>
      <c r="C131" t="inlineStr">
        <is>
          <t>2023</t>
        </is>
      </c>
      <c r="D131" t="inlineStr">
        <is>
          <t>TEA/AECOM 2023 theme index (approximate)</t>
        </is>
      </c>
    </row>
    <row r="132">
      <c r="A132" t="inlineStr">
        <is>
          <t>Tokyo Disney Resort (two parks)</t>
        </is>
      </c>
      <c r="B132" t="inlineStr">
        <is>
          <t>No verified figure</t>
        </is>
      </c>
      <c r="C132" t="inlineStr"/>
      <c r="D132" t="inlineStr">
        <is>
          <t>No external source located</t>
        </is>
      </c>
    </row>
    <row r="134">
      <c r="A134" t="inlineStr">
        <is>
          <t>Primary break-even attendance (million visits a year)</t>
        </is>
      </c>
      <c r="B134" s="5">
        <f>B25</f>
        <v/>
      </c>
    </row>
    <row r="135">
      <c r="A135" t="inlineStr">
        <is>
          <t>Multiple of Magic Kingdom attendance</t>
        </is>
      </c>
      <c r="B135" s="9">
        <f>B25/B128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Park-only operator appraisal: charts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2026-10-20T19:44:25Z</dcterms:created>
  <dcterms:modified xmlns:dcterms="http://purl.org/dc/terms/" xmlns:xsi="http://www.w3.org/2001/XMLSchema-instance" xsi:type="dcterms:W3CDTF">2026-10-20T19:44:25Z</dcterms:modified>
</cp:coreProperties>
</file>